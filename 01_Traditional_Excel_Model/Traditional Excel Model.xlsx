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s\Downloads\Financial-Supply-Chain-Simulation-main\Financial-Supply-Chain-Simulation-main\01_Traditional_Excel_Model\"/>
    </mc:Choice>
  </mc:AlternateContent>
  <xr:revisionPtr revIDLastSave="0" documentId="8_{8C3A2B80-CE53-4D95-9288-65D4F422F934}" xr6:coauthVersionLast="47" xr6:coauthVersionMax="47" xr10:uidLastSave="{00000000-0000-0000-0000-000000000000}"/>
  <bookViews>
    <workbookView xWindow="-108" yWindow="-108" windowWidth="23256" windowHeight="13176" activeTab="5" xr2:uid="{B357A370-CC64-4E84-B58D-340B277367E9}"/>
  </bookViews>
  <sheets>
    <sheet name="Data Considered" sheetId="6" r:id="rId1"/>
    <sheet name="Retailer" sheetId="1" r:id="rId2"/>
    <sheet name="Distributor" sheetId="2" r:id="rId3"/>
    <sheet name="Manufacturer" sheetId="3" r:id="rId4"/>
    <sheet name="Demand" sheetId="4" r:id="rId5"/>
    <sheet name="Performanc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3" l="1"/>
  <c r="D2" i="5"/>
  <c r="S2" i="1"/>
  <c r="X2" i="1" s="1"/>
  <c r="E2" i="2" l="1"/>
  <c r="E2" i="1"/>
  <c r="Y2" i="2"/>
  <c r="X2" i="3"/>
  <c r="A105" i="4"/>
  <c r="A52" i="4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B2" i="3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C70" i="1" s="1"/>
  <c r="D70" i="1" s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C82" i="1"/>
  <c r="D82" i="1" s="1"/>
  <c r="B83" i="1"/>
  <c r="C83" i="1"/>
  <c r="D83" i="1" s="1"/>
  <c r="B84" i="1"/>
  <c r="B85" i="1"/>
  <c r="B86" i="1"/>
  <c r="B87" i="1"/>
  <c r="C87" i="1"/>
  <c r="D87" i="1" s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G2" i="3"/>
  <c r="Q2" i="3"/>
  <c r="F2" i="3"/>
  <c r="I2" i="3" s="1"/>
  <c r="E2" i="3"/>
  <c r="D2" i="3"/>
  <c r="A3" i="3"/>
  <c r="B6" i="1"/>
  <c r="B7" i="1"/>
  <c r="B8" i="1"/>
  <c r="B9" i="1"/>
  <c r="B10" i="1"/>
  <c r="B18" i="1"/>
  <c r="B25" i="1"/>
  <c r="B26" i="1"/>
  <c r="B30" i="1"/>
  <c r="B31" i="1"/>
  <c r="B16" i="1"/>
  <c r="B17" i="1"/>
  <c r="B14" i="1"/>
  <c r="B15" i="1"/>
  <c r="B21" i="1"/>
  <c r="B24" i="1"/>
  <c r="B2" i="1"/>
  <c r="R2" i="2"/>
  <c r="R2" i="1"/>
  <c r="P2" i="2"/>
  <c r="N2" i="3" s="1"/>
  <c r="P2" i="1"/>
  <c r="N2" i="2" s="1"/>
  <c r="F2" i="2"/>
  <c r="G2" i="2" s="1"/>
  <c r="F2" i="1"/>
  <c r="G2" i="1" s="1"/>
  <c r="D2" i="2"/>
  <c r="A3" i="2"/>
  <c r="P3" i="2" s="1"/>
  <c r="N3" i="3" s="1"/>
  <c r="C2" i="1"/>
  <c r="D2" i="1" s="1"/>
  <c r="B5" i="1"/>
  <c r="A3" i="1"/>
  <c r="P3" i="1" s="1"/>
  <c r="N3" i="2" s="1"/>
  <c r="B3" i="1"/>
  <c r="B4" i="1"/>
  <c r="B11" i="1"/>
  <c r="B12" i="1"/>
  <c r="B13" i="1"/>
  <c r="B19" i="1"/>
  <c r="B20" i="1"/>
  <c r="B22" i="1"/>
  <c r="B23" i="1"/>
  <c r="B27" i="1"/>
  <c r="B28" i="1"/>
  <c r="B29" i="1"/>
  <c r="A4" i="4"/>
  <c r="A5" i="4"/>
  <c r="A6" i="4"/>
  <c r="A7" i="4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3" i="4"/>
  <c r="E3" i="3" l="1"/>
  <c r="X3" i="3"/>
  <c r="H2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Y3" i="2"/>
  <c r="C88" i="1"/>
  <c r="D88" i="1" s="1"/>
  <c r="B108" i="1"/>
  <c r="B111" i="1"/>
  <c r="C95" i="1"/>
  <c r="D95" i="1" s="1"/>
  <c r="C49" i="1"/>
  <c r="D49" i="1" s="1"/>
  <c r="C44" i="1"/>
  <c r="D44" i="1" s="1"/>
  <c r="I2" i="2"/>
  <c r="J2" i="2" s="1"/>
  <c r="S2" i="2" s="1"/>
  <c r="X2" i="2" s="1"/>
  <c r="I2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C98" i="1"/>
  <c r="D98" i="1" s="1"/>
  <c r="C69" i="1"/>
  <c r="D69" i="1" s="1"/>
  <c r="C68" i="1"/>
  <c r="D68" i="1" s="1"/>
  <c r="C62" i="1"/>
  <c r="D62" i="1" s="1"/>
  <c r="C75" i="1"/>
  <c r="D75" i="1" s="1"/>
  <c r="C73" i="1"/>
  <c r="D73" i="1" s="1"/>
  <c r="C65" i="1"/>
  <c r="D65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C54" i="1"/>
  <c r="D54" i="1" s="1"/>
  <c r="C92" i="1"/>
  <c r="D92" i="1" s="1"/>
  <c r="C99" i="1"/>
  <c r="D99" i="1" s="1"/>
  <c r="C72" i="1"/>
  <c r="D72" i="1" s="1"/>
  <c r="C46" i="1"/>
  <c r="D46" i="1" s="1"/>
  <c r="C38" i="1"/>
  <c r="D38" i="1" s="1"/>
  <c r="C57" i="1"/>
  <c r="D57" i="1" s="1"/>
  <c r="C6" i="1"/>
  <c r="D6" i="1" s="1"/>
  <c r="C96" i="1"/>
  <c r="D96" i="1" s="1"/>
  <c r="C50" i="1"/>
  <c r="D50" i="1" s="1"/>
  <c r="C42" i="1"/>
  <c r="D42" i="1" s="1"/>
  <c r="C100" i="1"/>
  <c r="D100" i="1" s="1"/>
  <c r="C80" i="1"/>
  <c r="D80" i="1" s="1"/>
  <c r="C67" i="1"/>
  <c r="D67" i="1" s="1"/>
  <c r="C52" i="1"/>
  <c r="D52" i="1" s="1"/>
  <c r="C97" i="1"/>
  <c r="D97" i="1" s="1"/>
  <c r="C32" i="1"/>
  <c r="D32" i="1" s="1"/>
  <c r="C86" i="1"/>
  <c r="D86" i="1" s="1"/>
  <c r="C66" i="1"/>
  <c r="D66" i="1" s="1"/>
  <c r="C41" i="1"/>
  <c r="D41" i="1" s="1"/>
  <c r="C37" i="1"/>
  <c r="D37" i="1" s="1"/>
  <c r="C36" i="1"/>
  <c r="D36" i="1" s="1"/>
  <c r="C89" i="1"/>
  <c r="D89" i="1" s="1"/>
  <c r="C71" i="1"/>
  <c r="D71" i="1" s="1"/>
  <c r="C45" i="1"/>
  <c r="D45" i="1" s="1"/>
  <c r="C35" i="1"/>
  <c r="D35" i="1" s="1"/>
  <c r="C101" i="1"/>
  <c r="D101" i="1" s="1"/>
  <c r="C103" i="1"/>
  <c r="D103" i="1" s="1"/>
  <c r="C33" i="1"/>
  <c r="D33" i="1" s="1"/>
  <c r="C30" i="1"/>
  <c r="D30" i="1" s="1"/>
  <c r="C74" i="1"/>
  <c r="D74" i="1" s="1"/>
  <c r="C53" i="1"/>
  <c r="D53" i="1" s="1"/>
  <c r="A34" i="2"/>
  <c r="C85" i="1"/>
  <c r="D85" i="1" s="1"/>
  <c r="C84" i="1"/>
  <c r="D84" i="1" s="1"/>
  <c r="C104" i="1"/>
  <c r="D104" i="1" s="1"/>
  <c r="C105" i="1"/>
  <c r="D105" i="1" s="1"/>
  <c r="C94" i="1"/>
  <c r="D94" i="1" s="1"/>
  <c r="C102" i="1"/>
  <c r="D102" i="1" s="1"/>
  <c r="C91" i="1"/>
  <c r="D91" i="1" s="1"/>
  <c r="C90" i="1"/>
  <c r="D90" i="1" s="1"/>
  <c r="C60" i="1"/>
  <c r="D60" i="1" s="1"/>
  <c r="C81" i="1"/>
  <c r="D81" i="1" s="1"/>
  <c r="C79" i="1"/>
  <c r="D79" i="1" s="1"/>
  <c r="C78" i="1"/>
  <c r="D78" i="1" s="1"/>
  <c r="C77" i="1"/>
  <c r="D77" i="1" s="1"/>
  <c r="C76" i="1"/>
  <c r="D76" i="1" s="1"/>
  <c r="C93" i="1"/>
  <c r="D93" i="1" s="1"/>
  <c r="C58" i="1"/>
  <c r="D58" i="1" s="1"/>
  <c r="C59" i="1"/>
  <c r="D59" i="1" s="1"/>
  <c r="C61" i="1"/>
  <c r="D61" i="1" s="1"/>
  <c r="C64" i="1"/>
  <c r="D64" i="1" s="1"/>
  <c r="C63" i="1"/>
  <c r="D63" i="1" s="1"/>
  <c r="C56" i="1"/>
  <c r="D56" i="1" s="1"/>
  <c r="C55" i="1"/>
  <c r="D55" i="1" s="1"/>
  <c r="C51" i="1"/>
  <c r="D51" i="1" s="1"/>
  <c r="C48" i="1"/>
  <c r="D48" i="1" s="1"/>
  <c r="C47" i="1"/>
  <c r="D47" i="1" s="1"/>
  <c r="C43" i="1"/>
  <c r="D43" i="1" s="1"/>
  <c r="C40" i="1"/>
  <c r="D40" i="1" s="1"/>
  <c r="C39" i="1"/>
  <c r="D39" i="1" s="1"/>
  <c r="C34" i="1"/>
  <c r="D34" i="1" s="1"/>
  <c r="H2" i="2"/>
  <c r="B3" i="3" s="1"/>
  <c r="C25" i="1"/>
  <c r="D25" i="1" s="1"/>
  <c r="C29" i="1"/>
  <c r="D29" i="1" s="1"/>
  <c r="C7" i="1"/>
  <c r="D7" i="1" s="1"/>
  <c r="C13" i="1"/>
  <c r="D13" i="1" s="1"/>
  <c r="C21" i="1"/>
  <c r="D21" i="1" s="1"/>
  <c r="C24" i="1"/>
  <c r="D24" i="1" s="1"/>
  <c r="C5" i="1"/>
  <c r="D5" i="1" s="1"/>
  <c r="C31" i="1"/>
  <c r="D31" i="1" s="1"/>
  <c r="C12" i="1"/>
  <c r="D12" i="1" s="1"/>
  <c r="C26" i="1"/>
  <c r="D26" i="1" s="1"/>
  <c r="C28" i="1"/>
  <c r="D28" i="1" s="1"/>
  <c r="C9" i="1"/>
  <c r="D9" i="1" s="1"/>
  <c r="C27" i="1"/>
  <c r="D27" i="1" s="1"/>
  <c r="C20" i="1"/>
  <c r="D20" i="1" s="1"/>
  <c r="C19" i="1"/>
  <c r="D19" i="1" s="1"/>
  <c r="C8" i="1"/>
  <c r="D8" i="1" s="1"/>
  <c r="C15" i="1"/>
  <c r="D15" i="1" s="1"/>
  <c r="C23" i="1"/>
  <c r="D23" i="1" s="1"/>
  <c r="C22" i="1"/>
  <c r="D22" i="1" s="1"/>
  <c r="C11" i="1"/>
  <c r="D11" i="1" s="1"/>
  <c r="C18" i="1"/>
  <c r="D18" i="1" s="1"/>
  <c r="C17" i="1"/>
  <c r="D17" i="1" s="1"/>
  <c r="C16" i="1"/>
  <c r="D16" i="1" s="1"/>
  <c r="C10" i="1"/>
  <c r="D10" i="1" s="1"/>
  <c r="C14" i="1"/>
  <c r="D14" i="1" s="1"/>
  <c r="C4" i="1"/>
  <c r="D4" i="1" s="1"/>
  <c r="C3" i="1"/>
  <c r="D3" i="1" s="1"/>
  <c r="Q2" i="2" l="1"/>
  <c r="E4" i="3"/>
  <c r="A37" i="3"/>
  <c r="A35" i="2"/>
  <c r="A34" i="1"/>
  <c r="A38" i="3" l="1"/>
  <c r="A36" i="2"/>
  <c r="A35" i="1"/>
  <c r="A39" i="3" l="1"/>
  <c r="A37" i="2"/>
  <c r="A36" i="1"/>
  <c r="A40" i="3" l="1"/>
  <c r="A38" i="2"/>
  <c r="A37" i="1"/>
  <c r="A41" i="3" l="1"/>
  <c r="A39" i="2"/>
  <c r="A38" i="1"/>
  <c r="H2" i="1"/>
  <c r="B3" i="2" l="1"/>
  <c r="A42" i="3"/>
  <c r="A40" i="2"/>
  <c r="A39" i="1"/>
  <c r="A43" i="3" l="1"/>
  <c r="A41" i="2"/>
  <c r="A40" i="1"/>
  <c r="C3" i="2"/>
  <c r="D3" i="2" s="1"/>
  <c r="A44" i="3" l="1"/>
  <c r="A42" i="2"/>
  <c r="A41" i="1"/>
  <c r="A45" i="3" l="1"/>
  <c r="A43" i="2"/>
  <c r="A42" i="1"/>
  <c r="A46" i="3" l="1"/>
  <c r="A44" i="2"/>
  <c r="A43" i="1"/>
  <c r="C4" i="2" l="1"/>
  <c r="D4" i="2" s="1"/>
  <c r="A47" i="3"/>
  <c r="A45" i="2"/>
  <c r="A44" i="1"/>
  <c r="C3" i="3" l="1"/>
  <c r="D3" i="3" s="1"/>
  <c r="J2" i="3"/>
  <c r="A48" i="3"/>
  <c r="A46" i="2"/>
  <c r="A45" i="1"/>
  <c r="E3" i="2" l="1"/>
  <c r="R2" i="3"/>
  <c r="W2" i="3" s="1"/>
  <c r="K2" i="3"/>
  <c r="T2" i="3" s="1"/>
  <c r="L2" i="3"/>
  <c r="M2" i="3"/>
  <c r="A49" i="3"/>
  <c r="A47" i="2"/>
  <c r="A46" i="1"/>
  <c r="X4" i="3" l="1"/>
  <c r="O2" i="2"/>
  <c r="F3" i="3"/>
  <c r="I3" i="3" s="1"/>
  <c r="J3" i="3" s="1"/>
  <c r="R3" i="3" s="1"/>
  <c r="S2" i="3"/>
  <c r="P2" i="3" s="1"/>
  <c r="A50" i="3"/>
  <c r="A48" i="2"/>
  <c r="A47" i="1"/>
  <c r="P4" i="2" l="1"/>
  <c r="N4" i="3" s="1"/>
  <c r="G3" i="3"/>
  <c r="H3" i="3" s="1"/>
  <c r="O3" i="3" s="1"/>
  <c r="W3" i="3" s="1"/>
  <c r="A51" i="3"/>
  <c r="A49" i="2"/>
  <c r="A48" i="1"/>
  <c r="E5" i="3" l="1"/>
  <c r="E4" i="2"/>
  <c r="C4" i="3"/>
  <c r="D4" i="3" s="1"/>
  <c r="A52" i="3"/>
  <c r="A50" i="2"/>
  <c r="A49" i="1"/>
  <c r="O3" i="2" l="1"/>
  <c r="L3" i="3"/>
  <c r="O2" i="1"/>
  <c r="M3" i="3"/>
  <c r="K3" i="3"/>
  <c r="T3" i="3" s="1"/>
  <c r="A53" i="3"/>
  <c r="A51" i="2"/>
  <c r="A50" i="1"/>
  <c r="P4" i="1" l="1"/>
  <c r="N4" i="2" s="1"/>
  <c r="P5" i="2"/>
  <c r="N5" i="3" s="1"/>
  <c r="X5" i="3"/>
  <c r="S3" i="3"/>
  <c r="F4" i="3"/>
  <c r="J2" i="1"/>
  <c r="L2" i="1" s="1"/>
  <c r="V2" i="1" s="1"/>
  <c r="W2" i="1" s="1"/>
  <c r="A54" i="3"/>
  <c r="A52" i="2"/>
  <c r="A51" i="1"/>
  <c r="P3" i="3" l="1"/>
  <c r="Q3" i="3" s="1"/>
  <c r="G4" i="3"/>
  <c r="H4" i="3" s="1"/>
  <c r="O4" i="3" s="1"/>
  <c r="I4" i="3"/>
  <c r="T2" i="1"/>
  <c r="K2" i="1"/>
  <c r="U2" i="1" s="1"/>
  <c r="M2" i="1"/>
  <c r="N2" i="1" s="1"/>
  <c r="Q2" i="1" s="1"/>
  <c r="A55" i="3"/>
  <c r="A53" i="2"/>
  <c r="A52" i="1"/>
  <c r="E6" i="3" l="1"/>
  <c r="O4" i="2"/>
  <c r="P6" i="2" s="1"/>
  <c r="N6" i="3" s="1"/>
  <c r="Y2" i="1"/>
  <c r="A56" i="3"/>
  <c r="A54" i="2"/>
  <c r="A53" i="1"/>
  <c r="A57" i="3" l="1"/>
  <c r="A55" i="2"/>
  <c r="A54" i="1"/>
  <c r="A58" i="3" l="1"/>
  <c r="A56" i="2"/>
  <c r="A55" i="1"/>
  <c r="A59" i="3" l="1"/>
  <c r="A57" i="2"/>
  <c r="A56" i="1"/>
  <c r="A60" i="3" l="1"/>
  <c r="A58" i="2"/>
  <c r="A57" i="1"/>
  <c r="A61" i="3" l="1"/>
  <c r="A59" i="2"/>
  <c r="A58" i="1"/>
  <c r="A62" i="3" l="1"/>
  <c r="A60" i="2"/>
  <c r="A59" i="1"/>
  <c r="A63" i="3" l="1"/>
  <c r="A61" i="2"/>
  <c r="A60" i="1"/>
  <c r="A64" i="3" l="1"/>
  <c r="A62" i="2"/>
  <c r="A61" i="1"/>
  <c r="A65" i="3" l="1"/>
  <c r="A63" i="2"/>
  <c r="A62" i="1"/>
  <c r="A66" i="3" l="1"/>
  <c r="A64" i="2"/>
  <c r="A63" i="1"/>
  <c r="A67" i="3" l="1"/>
  <c r="A65" i="2"/>
  <c r="A64" i="1"/>
  <c r="A68" i="3" l="1"/>
  <c r="A66" i="2"/>
  <c r="A65" i="1"/>
  <c r="A69" i="3" l="1"/>
  <c r="A67" i="2"/>
  <c r="A66" i="1"/>
  <c r="A70" i="3" l="1"/>
  <c r="A68" i="2"/>
  <c r="A67" i="1"/>
  <c r="A71" i="3" l="1"/>
  <c r="A69" i="2"/>
  <c r="A68" i="1"/>
  <c r="A72" i="3" l="1"/>
  <c r="A70" i="2"/>
  <c r="A69" i="1"/>
  <c r="A73" i="3" l="1"/>
  <c r="A71" i="2"/>
  <c r="A70" i="1"/>
  <c r="A74" i="3" l="1"/>
  <c r="A72" i="2"/>
  <c r="A71" i="1"/>
  <c r="A75" i="3" l="1"/>
  <c r="A73" i="2"/>
  <c r="A72" i="1"/>
  <c r="A76" i="3" l="1"/>
  <c r="A74" i="2"/>
  <c r="A73" i="1"/>
  <c r="A77" i="3" l="1"/>
  <c r="A75" i="2"/>
  <c r="A74" i="1"/>
  <c r="A78" i="3" l="1"/>
  <c r="A76" i="2"/>
  <c r="A75" i="1"/>
  <c r="A79" i="3" l="1"/>
  <c r="A77" i="2"/>
  <c r="A76" i="1"/>
  <c r="A80" i="3" l="1"/>
  <c r="A78" i="2"/>
  <c r="A77" i="1"/>
  <c r="A81" i="3" l="1"/>
  <c r="A79" i="2"/>
  <c r="A78" i="1"/>
  <c r="A82" i="3" l="1"/>
  <c r="A80" i="2"/>
  <c r="A79" i="1"/>
  <c r="A83" i="3" l="1"/>
  <c r="A81" i="2"/>
  <c r="A80" i="1"/>
  <c r="A84" i="3" l="1"/>
  <c r="A82" i="2"/>
  <c r="A81" i="1"/>
  <c r="A85" i="3" l="1"/>
  <c r="A83" i="2"/>
  <c r="A82" i="1"/>
  <c r="A86" i="3" l="1"/>
  <c r="A84" i="2"/>
  <c r="A83" i="1"/>
  <c r="A87" i="3" l="1"/>
  <c r="A85" i="2"/>
  <c r="A84" i="1"/>
  <c r="A88" i="3" l="1"/>
  <c r="A86" i="2"/>
  <c r="A85" i="1"/>
  <c r="A89" i="3" l="1"/>
  <c r="A87" i="2"/>
  <c r="A86" i="1"/>
  <c r="A90" i="3" l="1"/>
  <c r="A88" i="2"/>
  <c r="A87" i="1"/>
  <c r="A91" i="3" l="1"/>
  <c r="A89" i="2"/>
  <c r="A88" i="1"/>
  <c r="A92" i="3" l="1"/>
  <c r="A90" i="2"/>
  <c r="A89" i="1"/>
  <c r="A93" i="3" l="1"/>
  <c r="A91" i="2"/>
  <c r="A90" i="1"/>
  <c r="A94" i="3" l="1"/>
  <c r="A92" i="2"/>
  <c r="A91" i="1"/>
  <c r="A95" i="3" l="1"/>
  <c r="A93" i="2"/>
  <c r="A92" i="1"/>
  <c r="A96" i="3" l="1"/>
  <c r="A94" i="2"/>
  <c r="A93" i="1"/>
  <c r="A97" i="3" l="1"/>
  <c r="A95" i="2"/>
  <c r="A94" i="1"/>
  <c r="A98" i="3" l="1"/>
  <c r="A96" i="2"/>
  <c r="A95" i="1"/>
  <c r="A99" i="3" l="1"/>
  <c r="A97" i="2"/>
  <c r="A96" i="1"/>
  <c r="A100" i="3" l="1"/>
  <c r="A98" i="2"/>
  <c r="A97" i="1"/>
  <c r="A101" i="3" l="1"/>
  <c r="A99" i="2"/>
  <c r="A98" i="1"/>
  <c r="A102" i="3" l="1"/>
  <c r="A100" i="2"/>
  <c r="A99" i="1"/>
  <c r="A103" i="3" l="1"/>
  <c r="A101" i="2"/>
  <c r="A100" i="1"/>
  <c r="A104" i="3" l="1"/>
  <c r="A102" i="2"/>
  <c r="A101" i="1"/>
  <c r="A105" i="3" l="1"/>
  <c r="A103" i="2"/>
  <c r="A102" i="1"/>
  <c r="A104" i="2" l="1"/>
  <c r="A103" i="1"/>
  <c r="A105" i="2" l="1"/>
  <c r="A104" i="1"/>
  <c r="A105" i="1" l="1"/>
  <c r="M2" i="2" l="1"/>
  <c r="K2" i="2"/>
  <c r="U2" i="2" s="1"/>
  <c r="E3" i="1"/>
  <c r="O3" i="1" s="1"/>
  <c r="L2" i="2"/>
  <c r="T2" i="2" s="1"/>
  <c r="Y4" i="2" l="1"/>
  <c r="F3" i="1"/>
  <c r="P5" i="1"/>
  <c r="N5" i="2" s="1"/>
  <c r="F3" i="2"/>
  <c r="I3" i="1" l="1"/>
  <c r="G3" i="1"/>
  <c r="H3" i="1" s="1"/>
  <c r="B4" i="2" s="1"/>
  <c r="G3" i="2"/>
  <c r="H3" i="2" s="1"/>
  <c r="I3" i="2"/>
  <c r="C5" i="2"/>
  <c r="D5" i="2" s="1"/>
  <c r="J3" i="1" l="1"/>
  <c r="L3" i="1" s="1"/>
  <c r="J3" i="2"/>
  <c r="S3" i="2" s="1"/>
  <c r="X3" i="2" s="1"/>
  <c r="B4" i="3"/>
  <c r="T3" i="1" l="1"/>
  <c r="V3" i="1"/>
  <c r="W3" i="1" s="1"/>
  <c r="S3" i="1"/>
  <c r="X3" i="1" s="1"/>
  <c r="M3" i="1"/>
  <c r="K3" i="1"/>
  <c r="U3" i="1" s="1"/>
  <c r="M3" i="2"/>
  <c r="K3" i="2"/>
  <c r="U3" i="2" s="1"/>
  <c r="E4" i="1"/>
  <c r="C5" i="3"/>
  <c r="D5" i="3" s="1"/>
  <c r="J4" i="3"/>
  <c r="R4" i="3" s="1"/>
  <c r="W4" i="3" s="1"/>
  <c r="L3" i="2"/>
  <c r="Y3" i="1" l="1"/>
  <c r="N3" i="1"/>
  <c r="Q3" i="1" s="1"/>
  <c r="R3" i="1" s="1"/>
  <c r="T3" i="2"/>
  <c r="F4" i="2"/>
  <c r="M4" i="3"/>
  <c r="L4" i="3"/>
  <c r="E5" i="2"/>
  <c r="O5" i="2" s="1"/>
  <c r="Y5" i="2"/>
  <c r="K4" i="3"/>
  <c r="T4" i="3" s="1"/>
  <c r="O4" i="1"/>
  <c r="F4" i="1"/>
  <c r="Q3" i="2" l="1"/>
  <c r="G4" i="1"/>
  <c r="H4" i="1" s="1"/>
  <c r="I4" i="1"/>
  <c r="X6" i="3"/>
  <c r="G4" i="2"/>
  <c r="H4" i="2" s="1"/>
  <c r="I4" i="2"/>
  <c r="P7" i="2"/>
  <c r="N7" i="3" s="1"/>
  <c r="S4" i="3"/>
  <c r="F5" i="3"/>
  <c r="P6" i="1"/>
  <c r="N6" i="2" s="1"/>
  <c r="R3" i="2" l="1"/>
  <c r="P4" i="3"/>
  <c r="Q4" i="3" s="1"/>
  <c r="I5" i="3"/>
  <c r="G5" i="3"/>
  <c r="H5" i="3" s="1"/>
  <c r="O5" i="3" s="1"/>
  <c r="J4" i="1"/>
  <c r="J4" i="2"/>
  <c r="S4" i="2" s="1"/>
  <c r="X4" i="2" s="1"/>
  <c r="B5" i="3"/>
  <c r="B5" i="2"/>
  <c r="K4" i="1" l="1"/>
  <c r="U4" i="1" s="1"/>
  <c r="S4" i="1"/>
  <c r="X4" i="1" s="1"/>
  <c r="M4" i="1"/>
  <c r="C6" i="2"/>
  <c r="D6" i="2" s="1"/>
  <c r="E7" i="3"/>
  <c r="M4" i="2"/>
  <c r="E5" i="1"/>
  <c r="O5" i="1" s="1"/>
  <c r="K4" i="2"/>
  <c r="U4" i="2" s="1"/>
  <c r="L4" i="1"/>
  <c r="L4" i="2"/>
  <c r="J5" i="3"/>
  <c r="C6" i="3"/>
  <c r="D6" i="3" s="1"/>
  <c r="L5" i="3" l="1"/>
  <c r="F6" i="3" s="1"/>
  <c r="R5" i="3"/>
  <c r="W5" i="3" s="1"/>
  <c r="T4" i="2"/>
  <c r="F5" i="2"/>
  <c r="Y6" i="2"/>
  <c r="V4" i="1"/>
  <c r="W4" i="1" s="1"/>
  <c r="T4" i="1"/>
  <c r="F5" i="1"/>
  <c r="P7" i="1"/>
  <c r="N7" i="2" s="1"/>
  <c r="Y4" i="1"/>
  <c r="N4" i="1"/>
  <c r="E6" i="2"/>
  <c r="O6" i="2" s="1"/>
  <c r="M5" i="3"/>
  <c r="K5" i="3"/>
  <c r="T5" i="3" s="1"/>
  <c r="S5" i="3" l="1"/>
  <c r="P5" i="3" s="1"/>
  <c r="Q5" i="3" s="1"/>
  <c r="Q4" i="2"/>
  <c r="R4" i="2" s="1"/>
  <c r="Q4" i="1"/>
  <c r="R4" i="1" s="1"/>
  <c r="P8" i="2"/>
  <c r="N8" i="3" s="1"/>
  <c r="G5" i="1"/>
  <c r="H5" i="1" s="1"/>
  <c r="I5" i="1"/>
  <c r="G6" i="3"/>
  <c r="H6" i="3" s="1"/>
  <c r="O6" i="3" s="1"/>
  <c r="I6" i="3"/>
  <c r="X7" i="3"/>
  <c r="I5" i="2"/>
  <c r="G5" i="2"/>
  <c r="H5" i="2" s="1"/>
  <c r="B6" i="2" l="1"/>
  <c r="B6" i="3"/>
  <c r="J5" i="2"/>
  <c r="J5" i="1"/>
  <c r="L5" i="1" s="1"/>
  <c r="E8" i="3"/>
  <c r="L5" i="2" l="1"/>
  <c r="T5" i="2" s="1"/>
  <c r="S5" i="2"/>
  <c r="X5" i="2" s="1"/>
  <c r="T5" i="1"/>
  <c r="V5" i="1"/>
  <c r="W5" i="1" s="1"/>
  <c r="C7" i="2"/>
  <c r="D7" i="2" s="1"/>
  <c r="K5" i="1"/>
  <c r="U5" i="1" s="1"/>
  <c r="S5" i="1"/>
  <c r="X5" i="1" s="1"/>
  <c r="M5" i="1"/>
  <c r="E6" i="1"/>
  <c r="O6" i="1" s="1"/>
  <c r="M5" i="2"/>
  <c r="K5" i="2"/>
  <c r="U5" i="2" s="1"/>
  <c r="J6" i="3"/>
  <c r="R6" i="3" s="1"/>
  <c r="W6" i="3" s="1"/>
  <c r="C7" i="3"/>
  <c r="D7" i="3" s="1"/>
  <c r="Q5" i="2" l="1"/>
  <c r="R5" i="2" s="1"/>
  <c r="F6" i="2"/>
  <c r="G6" i="2" s="1"/>
  <c r="H6" i="2" s="1"/>
  <c r="E7" i="2"/>
  <c r="O7" i="2" s="1"/>
  <c r="M6" i="3"/>
  <c r="L6" i="3"/>
  <c r="Y7" i="2"/>
  <c r="P8" i="1"/>
  <c r="N8" i="2" s="1"/>
  <c r="K6" i="3"/>
  <c r="T6" i="3" s="1"/>
  <c r="Y5" i="1"/>
  <c r="N5" i="1"/>
  <c r="Q5" i="1" s="1"/>
  <c r="R5" i="1" s="1"/>
  <c r="F6" i="1"/>
  <c r="I6" i="2" l="1"/>
  <c r="J6" i="2" s="1"/>
  <c r="X8" i="3"/>
  <c r="P9" i="2"/>
  <c r="N9" i="3" s="1"/>
  <c r="I6" i="1"/>
  <c r="G6" i="1"/>
  <c r="H6" i="1" s="1"/>
  <c r="B7" i="3"/>
  <c r="F7" i="3"/>
  <c r="S6" i="3"/>
  <c r="P6" i="3" l="1"/>
  <c r="Q6" i="3" s="1"/>
  <c r="L6" i="2"/>
  <c r="F7" i="2" s="1"/>
  <c r="S6" i="2"/>
  <c r="X6" i="2" s="1"/>
  <c r="I7" i="3"/>
  <c r="J7" i="3" s="1"/>
  <c r="R7" i="3" s="1"/>
  <c r="G7" i="3"/>
  <c r="H7" i="3" s="1"/>
  <c r="O7" i="3" s="1"/>
  <c r="M6" i="2"/>
  <c r="E7" i="1"/>
  <c r="O7" i="1" s="1"/>
  <c r="K6" i="2"/>
  <c r="U6" i="2" s="1"/>
  <c r="B7" i="2"/>
  <c r="J6" i="1"/>
  <c r="C8" i="3"/>
  <c r="D8" i="3" s="1"/>
  <c r="W7" i="3" l="1"/>
  <c r="T6" i="2"/>
  <c r="Y8" i="2"/>
  <c r="E9" i="3"/>
  <c r="L7" i="3"/>
  <c r="E8" i="2"/>
  <c r="O8" i="2" s="1"/>
  <c r="M7" i="3"/>
  <c r="P9" i="1"/>
  <c r="N9" i="2" s="1"/>
  <c r="C8" i="2"/>
  <c r="D8" i="2" s="1"/>
  <c r="K6" i="1"/>
  <c r="U6" i="1" s="1"/>
  <c r="M6" i="1"/>
  <c r="S6" i="1"/>
  <c r="X6" i="1" s="1"/>
  <c r="L6" i="1"/>
  <c r="I7" i="2"/>
  <c r="G7" i="2"/>
  <c r="H7" i="2" s="1"/>
  <c r="K7" i="3"/>
  <c r="T7" i="3" s="1"/>
  <c r="Q6" i="2" l="1"/>
  <c r="R6" i="2" s="1"/>
  <c r="X9" i="3"/>
  <c r="B8" i="3"/>
  <c r="F8" i="3"/>
  <c r="S7" i="3"/>
  <c r="V6" i="1"/>
  <c r="W6" i="1" s="1"/>
  <c r="T6" i="1"/>
  <c r="F7" i="1"/>
  <c r="P10" i="2"/>
  <c r="N10" i="3" s="1"/>
  <c r="J7" i="2"/>
  <c r="Y6" i="1"/>
  <c r="N6" i="1"/>
  <c r="P7" i="3" l="1"/>
  <c r="Q7" i="3" s="1"/>
  <c r="L7" i="2"/>
  <c r="F8" i="2" s="1"/>
  <c r="S7" i="2"/>
  <c r="X7" i="2" s="1"/>
  <c r="Q6" i="1"/>
  <c r="R6" i="1" s="1"/>
  <c r="M7" i="2"/>
  <c r="E8" i="1"/>
  <c r="O8" i="1" s="1"/>
  <c r="K7" i="2"/>
  <c r="U7" i="2" s="1"/>
  <c r="I8" i="3"/>
  <c r="G8" i="3"/>
  <c r="H8" i="3" s="1"/>
  <c r="O8" i="3" s="1"/>
  <c r="G7" i="1"/>
  <c r="H7" i="1" s="1"/>
  <c r="I7" i="1"/>
  <c r="C9" i="3"/>
  <c r="D9" i="3" s="1"/>
  <c r="T7" i="2" l="1"/>
  <c r="E10" i="3"/>
  <c r="G8" i="2"/>
  <c r="H8" i="2" s="1"/>
  <c r="B9" i="3" s="1"/>
  <c r="I8" i="2"/>
  <c r="J8" i="3"/>
  <c r="R8" i="3" s="1"/>
  <c r="W8" i="3" s="1"/>
  <c r="P10" i="1"/>
  <c r="N10" i="2" s="1"/>
  <c r="Y9" i="2"/>
  <c r="J7" i="1"/>
  <c r="B8" i="2"/>
  <c r="Q7" i="2" l="1"/>
  <c r="R7" i="2" s="1"/>
  <c r="C9" i="2"/>
  <c r="D9" i="2" s="1"/>
  <c r="S7" i="1"/>
  <c r="X7" i="1" s="1"/>
  <c r="M7" i="1"/>
  <c r="K7" i="1"/>
  <c r="U7" i="1" s="1"/>
  <c r="E9" i="2"/>
  <c r="O9" i="2" s="1"/>
  <c r="M8" i="3"/>
  <c r="K8" i="3"/>
  <c r="T8" i="3" s="1"/>
  <c r="C10" i="3"/>
  <c r="D10" i="3" s="1"/>
  <c r="L8" i="3"/>
  <c r="L7" i="1"/>
  <c r="J8" i="2"/>
  <c r="S8" i="2" s="1"/>
  <c r="X8" i="2" s="1"/>
  <c r="E9" i="1" l="1"/>
  <c r="O9" i="1" s="1"/>
  <c r="M8" i="2"/>
  <c r="L8" i="2"/>
  <c r="T7" i="1"/>
  <c r="F8" i="1"/>
  <c r="V7" i="1"/>
  <c r="W7" i="1" s="1"/>
  <c r="P11" i="2"/>
  <c r="N11" i="3" s="1"/>
  <c r="K8" i="2"/>
  <c r="U8" i="2" s="1"/>
  <c r="Y7" i="1"/>
  <c r="N7" i="1"/>
  <c r="X10" i="3"/>
  <c r="F9" i="3"/>
  <c r="S8" i="3"/>
  <c r="P8" i="3" l="1"/>
  <c r="Q8" i="3" s="1"/>
  <c r="Y10" i="2"/>
  <c r="P11" i="1"/>
  <c r="N11" i="2" s="1"/>
  <c r="G9" i="3"/>
  <c r="H9" i="3" s="1"/>
  <c r="O9" i="3" s="1"/>
  <c r="I9" i="3"/>
  <c r="G8" i="1"/>
  <c r="H8" i="1" s="1"/>
  <c r="B9" i="2" s="1"/>
  <c r="I8" i="1"/>
  <c r="Q7" i="1"/>
  <c r="R7" i="1" s="1"/>
  <c r="T8" i="2"/>
  <c r="F9" i="2"/>
  <c r="Q8" i="2" l="1"/>
  <c r="R8" i="2" s="1"/>
  <c r="I9" i="2"/>
  <c r="G9" i="2"/>
  <c r="H9" i="2" s="1"/>
  <c r="B10" i="3" s="1"/>
  <c r="E11" i="3"/>
  <c r="J9" i="3"/>
  <c r="R9" i="3" s="1"/>
  <c r="W9" i="3" s="1"/>
  <c r="J8" i="1"/>
  <c r="C10" i="2"/>
  <c r="D10" i="2" s="1"/>
  <c r="S8" i="1" l="1"/>
  <c r="X8" i="1" s="1"/>
  <c r="M8" i="1"/>
  <c r="K8" i="1"/>
  <c r="U8" i="1" s="1"/>
  <c r="E10" i="2"/>
  <c r="O10" i="2" s="1"/>
  <c r="M9" i="3"/>
  <c r="K9" i="3"/>
  <c r="T9" i="3" s="1"/>
  <c r="L9" i="3"/>
  <c r="L8" i="1"/>
  <c r="C11" i="3"/>
  <c r="D11" i="3" s="1"/>
  <c r="J9" i="2"/>
  <c r="L9" i="2" l="1"/>
  <c r="F10" i="2" s="1"/>
  <c r="S9" i="2"/>
  <c r="X9" i="2" s="1"/>
  <c r="M9" i="2"/>
  <c r="E10" i="1"/>
  <c r="O10" i="1" s="1"/>
  <c r="K9" i="2"/>
  <c r="U9" i="2" s="1"/>
  <c r="X11" i="3"/>
  <c r="P12" i="2"/>
  <c r="N12" i="3" s="1"/>
  <c r="N8" i="1"/>
  <c r="Y8" i="1"/>
  <c r="S9" i="3"/>
  <c r="F10" i="3"/>
  <c r="F9" i="1"/>
  <c r="T8" i="1"/>
  <c r="V8" i="1"/>
  <c r="W8" i="1" s="1"/>
  <c r="P9" i="3" l="1"/>
  <c r="Q9" i="3" s="1"/>
  <c r="T9" i="2"/>
  <c r="Q8" i="1"/>
  <c r="R8" i="1" s="1"/>
  <c r="P12" i="1"/>
  <c r="N12" i="2" s="1"/>
  <c r="I10" i="2"/>
  <c r="G10" i="2"/>
  <c r="H10" i="2" s="1"/>
  <c r="B11" i="3" s="1"/>
  <c r="I10" i="3"/>
  <c r="G10" i="3"/>
  <c r="H10" i="3" s="1"/>
  <c r="Y11" i="2"/>
  <c r="I9" i="1"/>
  <c r="G9" i="1"/>
  <c r="H9" i="1" s="1"/>
  <c r="B10" i="2" s="1"/>
  <c r="E12" i="3" l="1"/>
  <c r="O10" i="3"/>
  <c r="Q9" i="2"/>
  <c r="R9" i="2" s="1"/>
  <c r="J10" i="3"/>
  <c r="R10" i="3" s="1"/>
  <c r="C11" i="2"/>
  <c r="D11" i="2" s="1"/>
  <c r="J10" i="2"/>
  <c r="S10" i="2" s="1"/>
  <c r="X10" i="2" s="1"/>
  <c r="J9" i="1"/>
  <c r="L9" i="1" s="1"/>
  <c r="C12" i="3"/>
  <c r="D12" i="3" s="1"/>
  <c r="W10" i="3" l="1"/>
  <c r="E11" i="1"/>
  <c r="O11" i="1" s="1"/>
  <c r="M10" i="2"/>
  <c r="K10" i="2"/>
  <c r="U10" i="2" s="1"/>
  <c r="E11" i="2"/>
  <c r="O11" i="2" s="1"/>
  <c r="M10" i="3"/>
  <c r="K10" i="3"/>
  <c r="T10" i="3" s="1"/>
  <c r="T9" i="1"/>
  <c r="V9" i="1"/>
  <c r="W9" i="1" s="1"/>
  <c r="F10" i="1"/>
  <c r="L10" i="2"/>
  <c r="M9" i="1"/>
  <c r="S9" i="1"/>
  <c r="X9" i="1" s="1"/>
  <c r="K9" i="1"/>
  <c r="U9" i="1" s="1"/>
  <c r="L10" i="3"/>
  <c r="X12" i="3" l="1"/>
  <c r="I10" i="1"/>
  <c r="G10" i="1"/>
  <c r="H10" i="1" s="1"/>
  <c r="B11" i="2" s="1"/>
  <c r="F11" i="3"/>
  <c r="S10" i="3"/>
  <c r="Y9" i="1"/>
  <c r="N9" i="1"/>
  <c r="Q9" i="1" s="1"/>
  <c r="R9" i="1" s="1"/>
  <c r="P13" i="2"/>
  <c r="N13" i="3" s="1"/>
  <c r="T10" i="2"/>
  <c r="F11" i="2"/>
  <c r="Y12" i="2"/>
  <c r="P13" i="1"/>
  <c r="N13" i="2" s="1"/>
  <c r="P10" i="3" l="1"/>
  <c r="Q10" i="3" s="1"/>
  <c r="Q10" i="2"/>
  <c r="R10" i="2" s="1"/>
  <c r="G11" i="3"/>
  <c r="H11" i="3" s="1"/>
  <c r="I11" i="3"/>
  <c r="J10" i="1"/>
  <c r="L10" i="1" s="1"/>
  <c r="G11" i="2"/>
  <c r="H11" i="2" s="1"/>
  <c r="B12" i="3" s="1"/>
  <c r="I11" i="2"/>
  <c r="C12" i="2"/>
  <c r="D12" i="2" s="1"/>
  <c r="E13" i="3" l="1"/>
  <c r="O11" i="3"/>
  <c r="C13" i="3"/>
  <c r="D13" i="3" s="1"/>
  <c r="T10" i="1"/>
  <c r="V10" i="1"/>
  <c r="W10" i="1" s="1"/>
  <c r="F11" i="1"/>
  <c r="K10" i="1"/>
  <c r="U10" i="1" s="1"/>
  <c r="M10" i="1"/>
  <c r="S10" i="1"/>
  <c r="X10" i="1" s="1"/>
  <c r="J11" i="3"/>
  <c r="J11" i="2"/>
  <c r="S11" i="2" s="1"/>
  <c r="X11" i="2" s="1"/>
  <c r="L11" i="3" l="1"/>
  <c r="S11" i="3" s="1"/>
  <c r="R11" i="3"/>
  <c r="W11" i="3" s="1"/>
  <c r="G11" i="1"/>
  <c r="H11" i="1" s="1"/>
  <c r="B12" i="2" s="1"/>
  <c r="I11" i="1"/>
  <c r="M11" i="2"/>
  <c r="E12" i="1"/>
  <c r="O12" i="1" s="1"/>
  <c r="K11" i="2"/>
  <c r="U11" i="2" s="1"/>
  <c r="L11" i="2"/>
  <c r="E12" i="2"/>
  <c r="O12" i="2" s="1"/>
  <c r="M11" i="3"/>
  <c r="K11" i="3"/>
  <c r="T11" i="3" s="1"/>
  <c r="N10" i="1"/>
  <c r="Q10" i="1" s="1"/>
  <c r="R10" i="1" s="1"/>
  <c r="Y10" i="1"/>
  <c r="P11" i="3" l="1"/>
  <c r="Q11" i="3" s="1"/>
  <c r="F12" i="3"/>
  <c r="I12" i="3" s="1"/>
  <c r="P14" i="1"/>
  <c r="N14" i="2" s="1"/>
  <c r="Y13" i="2"/>
  <c r="J11" i="1"/>
  <c r="L11" i="1" s="1"/>
  <c r="C13" i="2"/>
  <c r="D13" i="2" s="1"/>
  <c r="X13" i="3"/>
  <c r="P14" i="2"/>
  <c r="N14" i="3" s="1"/>
  <c r="T11" i="2"/>
  <c r="F12" i="2"/>
  <c r="G12" i="3" l="1"/>
  <c r="H12" i="3" s="1"/>
  <c r="Q11" i="2"/>
  <c r="R11" i="2" s="1"/>
  <c r="I12" i="2"/>
  <c r="G12" i="2"/>
  <c r="H12" i="2" s="1"/>
  <c r="B13" i="3" s="1"/>
  <c r="M11" i="1"/>
  <c r="K11" i="1"/>
  <c r="U11" i="1" s="1"/>
  <c r="S11" i="1"/>
  <c r="X11" i="1" s="1"/>
  <c r="J12" i="3"/>
  <c r="T11" i="1"/>
  <c r="F12" i="1"/>
  <c r="V11" i="1"/>
  <c r="W11" i="1" s="1"/>
  <c r="E14" i="3" l="1"/>
  <c r="O12" i="3"/>
  <c r="L12" i="3"/>
  <c r="S12" i="3" s="1"/>
  <c r="R12" i="3"/>
  <c r="C14" i="3"/>
  <c r="D14" i="3" s="1"/>
  <c r="J12" i="2"/>
  <c r="S12" i="2" s="1"/>
  <c r="X12" i="2" s="1"/>
  <c r="I12" i="1"/>
  <c r="G12" i="1"/>
  <c r="H12" i="1" s="1"/>
  <c r="B13" i="2" s="1"/>
  <c r="Y11" i="1"/>
  <c r="N11" i="1"/>
  <c r="Q11" i="1" s="1"/>
  <c r="R11" i="1" s="1"/>
  <c r="E13" i="2"/>
  <c r="O13" i="2" s="1"/>
  <c r="M12" i="3"/>
  <c r="K12" i="3"/>
  <c r="T12" i="3" s="1"/>
  <c r="W12" i="3" l="1"/>
  <c r="P12" i="3"/>
  <c r="Q12" i="3" s="1"/>
  <c r="F13" i="3"/>
  <c r="I13" i="3" s="1"/>
  <c r="M12" i="2"/>
  <c r="E13" i="1"/>
  <c r="O13" i="1" s="1"/>
  <c r="K12" i="2"/>
  <c r="U12" i="2" s="1"/>
  <c r="C14" i="2"/>
  <c r="D14" i="2" s="1"/>
  <c r="X14" i="3"/>
  <c r="P15" i="2"/>
  <c r="N15" i="3" s="1"/>
  <c r="J12" i="1"/>
  <c r="L12" i="1" s="1"/>
  <c r="L12" i="2"/>
  <c r="G13" i="3" l="1"/>
  <c r="H13" i="3" s="1"/>
  <c r="T12" i="2"/>
  <c r="F13" i="2"/>
  <c r="T12" i="1"/>
  <c r="V12" i="1"/>
  <c r="W12" i="1" s="1"/>
  <c r="F13" i="1"/>
  <c r="K12" i="1"/>
  <c r="U12" i="1" s="1"/>
  <c r="M12" i="1"/>
  <c r="S12" i="1"/>
  <c r="X12" i="1" s="1"/>
  <c r="P15" i="1"/>
  <c r="N15" i="2" s="1"/>
  <c r="J13" i="3"/>
  <c r="R13" i="3" s="1"/>
  <c r="Y14" i="2"/>
  <c r="E15" i="3" l="1"/>
  <c r="O13" i="3"/>
  <c r="W13" i="3" s="1"/>
  <c r="Q12" i="2"/>
  <c r="R12" i="2" s="1"/>
  <c r="G13" i="2"/>
  <c r="H13" i="2" s="1"/>
  <c r="B14" i="3" s="1"/>
  <c r="I13" i="2"/>
  <c r="M13" i="3"/>
  <c r="E14" i="2"/>
  <c r="O14" i="2" s="1"/>
  <c r="K13" i="3"/>
  <c r="T13" i="3" s="1"/>
  <c r="L13" i="3"/>
  <c r="I13" i="1"/>
  <c r="G13" i="1"/>
  <c r="H13" i="1" s="1"/>
  <c r="B14" i="2" s="1"/>
  <c r="N12" i="1"/>
  <c r="Q12" i="1" s="1"/>
  <c r="R12" i="1" s="1"/>
  <c r="Y12" i="1"/>
  <c r="P16" i="2" l="1"/>
  <c r="N16" i="3" s="1"/>
  <c r="X15" i="3"/>
  <c r="J13" i="1"/>
  <c r="F14" i="3"/>
  <c r="S13" i="3"/>
  <c r="J13" i="2"/>
  <c r="C15" i="2"/>
  <c r="D15" i="2" s="1"/>
  <c r="C15" i="3"/>
  <c r="D15" i="3" s="1"/>
  <c r="P13" i="3" l="1"/>
  <c r="Q13" i="3" s="1"/>
  <c r="L13" i="2"/>
  <c r="F14" i="2" s="1"/>
  <c r="S13" i="2"/>
  <c r="X13" i="2" s="1"/>
  <c r="E14" i="1"/>
  <c r="O14" i="1" s="1"/>
  <c r="M13" i="2"/>
  <c r="K13" i="2"/>
  <c r="U13" i="2" s="1"/>
  <c r="M13" i="1"/>
  <c r="S13" i="1"/>
  <c r="X13" i="1" s="1"/>
  <c r="K13" i="1"/>
  <c r="U13" i="1" s="1"/>
  <c r="I14" i="3"/>
  <c r="G14" i="3"/>
  <c r="H14" i="3" s="1"/>
  <c r="L13" i="1"/>
  <c r="E16" i="3" l="1"/>
  <c r="O14" i="3"/>
  <c r="T13" i="2"/>
  <c r="Q13" i="2" s="1"/>
  <c r="R13" i="2" s="1"/>
  <c r="T13" i="1"/>
  <c r="V13" i="1"/>
  <c r="W13" i="1" s="1"/>
  <c r="F14" i="1"/>
  <c r="J14" i="3"/>
  <c r="Y15" i="2"/>
  <c r="I14" i="2"/>
  <c r="G14" i="2"/>
  <c r="H14" i="2" s="1"/>
  <c r="B15" i="3" s="1"/>
  <c r="Y13" i="1"/>
  <c r="N13" i="1"/>
  <c r="P16" i="1"/>
  <c r="N16" i="2" s="1"/>
  <c r="L14" i="3" l="1"/>
  <c r="S14" i="3" s="1"/>
  <c r="R14" i="3"/>
  <c r="W14" i="3" s="1"/>
  <c r="Q13" i="1"/>
  <c r="R13" i="1" s="1"/>
  <c r="J14" i="2"/>
  <c r="S14" i="2" s="1"/>
  <c r="X14" i="2" s="1"/>
  <c r="G14" i="1"/>
  <c r="H14" i="1" s="1"/>
  <c r="B15" i="2" s="1"/>
  <c r="I14" i="1"/>
  <c r="E15" i="2"/>
  <c r="O15" i="2" s="1"/>
  <c r="M14" i="3"/>
  <c r="K14" i="3"/>
  <c r="T14" i="3" s="1"/>
  <c r="C16" i="3"/>
  <c r="D16" i="3" s="1"/>
  <c r="P14" i="3" l="1"/>
  <c r="Q14" i="3" s="1"/>
  <c r="F15" i="3"/>
  <c r="G15" i="3" s="1"/>
  <c r="H15" i="3" s="1"/>
  <c r="C16" i="2"/>
  <c r="D16" i="2" s="1"/>
  <c r="E15" i="1"/>
  <c r="O15" i="1" s="1"/>
  <c r="M14" i="2"/>
  <c r="K14" i="2"/>
  <c r="U14" i="2" s="1"/>
  <c r="L14" i="2"/>
  <c r="X16" i="3"/>
  <c r="J14" i="1"/>
  <c r="L14" i="1" s="1"/>
  <c r="P17" i="2"/>
  <c r="N17" i="3" s="1"/>
  <c r="E17" i="3" l="1"/>
  <c r="O15" i="3"/>
  <c r="I15" i="3"/>
  <c r="J15" i="3" s="1"/>
  <c r="F15" i="2"/>
  <c r="T14" i="2"/>
  <c r="P17" i="1"/>
  <c r="N17" i="2" s="1"/>
  <c r="Y16" i="2"/>
  <c r="T14" i="1"/>
  <c r="V14" i="1"/>
  <c r="W14" i="1" s="1"/>
  <c r="F15" i="1"/>
  <c r="S14" i="1"/>
  <c r="X14" i="1" s="1"/>
  <c r="M14" i="1"/>
  <c r="K14" i="1"/>
  <c r="U14" i="1" s="1"/>
  <c r="L15" i="3" l="1"/>
  <c r="S15" i="3" s="1"/>
  <c r="R15" i="3"/>
  <c r="W15" i="3" s="1"/>
  <c r="Q14" i="2"/>
  <c r="R14" i="2" s="1"/>
  <c r="I15" i="2"/>
  <c r="G15" i="2"/>
  <c r="H15" i="2" s="1"/>
  <c r="B16" i="3" s="1"/>
  <c r="Y14" i="1"/>
  <c r="N14" i="1"/>
  <c r="Q14" i="1" s="1"/>
  <c r="R14" i="1" s="1"/>
  <c r="G15" i="1"/>
  <c r="H15" i="1" s="1"/>
  <c r="B16" i="2" s="1"/>
  <c r="I15" i="1"/>
  <c r="M15" i="3"/>
  <c r="E16" i="2"/>
  <c r="O16" i="2" s="1"/>
  <c r="K15" i="3"/>
  <c r="T15" i="3" s="1"/>
  <c r="P15" i="3" l="1"/>
  <c r="Q15" i="3" s="1"/>
  <c r="F16" i="3"/>
  <c r="I16" i="3" s="1"/>
  <c r="J16" i="3" s="1"/>
  <c r="R16" i="3" s="1"/>
  <c r="C17" i="2"/>
  <c r="D17" i="2" s="1"/>
  <c r="P18" i="2"/>
  <c r="N18" i="3" s="1"/>
  <c r="C17" i="3"/>
  <c r="D17" i="3" s="1"/>
  <c r="X17" i="3"/>
  <c r="J15" i="2"/>
  <c r="J15" i="1"/>
  <c r="L15" i="1" s="1"/>
  <c r="G16" i="3" l="1"/>
  <c r="H16" i="3" s="1"/>
  <c r="L15" i="2"/>
  <c r="T15" i="2" s="1"/>
  <c r="S15" i="2"/>
  <c r="X15" i="2" s="1"/>
  <c r="E17" i="2"/>
  <c r="O17" i="2" s="1"/>
  <c r="M16" i="3"/>
  <c r="K16" i="3"/>
  <c r="T16" i="3" s="1"/>
  <c r="E16" i="1"/>
  <c r="O16" i="1" s="1"/>
  <c r="M15" i="2"/>
  <c r="K15" i="2"/>
  <c r="U15" i="2" s="1"/>
  <c r="M15" i="1"/>
  <c r="S15" i="1"/>
  <c r="X15" i="1" s="1"/>
  <c r="K15" i="1"/>
  <c r="U15" i="1" s="1"/>
  <c r="V15" i="1"/>
  <c r="W15" i="1" s="1"/>
  <c r="T15" i="1"/>
  <c r="L16" i="3"/>
  <c r="E18" i="3" l="1"/>
  <c r="O16" i="3"/>
  <c r="W16" i="3" s="1"/>
  <c r="Q15" i="2"/>
  <c r="R15" i="2" s="1"/>
  <c r="F16" i="2"/>
  <c r="G16" i="2" s="1"/>
  <c r="H16" i="2" s="1"/>
  <c r="B17" i="3" s="1"/>
  <c r="F17" i="3"/>
  <c r="S16" i="3"/>
  <c r="X18" i="3"/>
  <c r="P18" i="1"/>
  <c r="N18" i="2" s="1"/>
  <c r="Y15" i="1"/>
  <c r="N15" i="1"/>
  <c r="Q15" i="1" s="1"/>
  <c r="R15" i="1" s="1"/>
  <c r="F16" i="1"/>
  <c r="Y17" i="2"/>
  <c r="P19" i="2"/>
  <c r="N19" i="3" s="1"/>
  <c r="P16" i="3" l="1"/>
  <c r="Q16" i="3" s="1"/>
  <c r="I16" i="2"/>
  <c r="J16" i="2" s="1"/>
  <c r="G16" i="1"/>
  <c r="H16" i="1" s="1"/>
  <c r="B17" i="2" s="1"/>
  <c r="I16" i="1"/>
  <c r="I17" i="3"/>
  <c r="G17" i="3"/>
  <c r="H17" i="3" s="1"/>
  <c r="C18" i="3"/>
  <c r="D18" i="3" s="1"/>
  <c r="E19" i="3" l="1"/>
  <c r="O17" i="3"/>
  <c r="L16" i="2"/>
  <c r="F17" i="2" s="1"/>
  <c r="S16" i="2"/>
  <c r="X16" i="2" s="1"/>
  <c r="M16" i="2"/>
  <c r="E17" i="1"/>
  <c r="O17" i="1" s="1"/>
  <c r="K16" i="2"/>
  <c r="U16" i="2" s="1"/>
  <c r="J17" i="3"/>
  <c r="R17" i="3" s="1"/>
  <c r="W17" i="3" s="1"/>
  <c r="J16" i="1"/>
  <c r="L16" i="1" s="1"/>
  <c r="C18" i="2"/>
  <c r="D18" i="2" s="1"/>
  <c r="T16" i="2" l="1"/>
  <c r="T16" i="1"/>
  <c r="V16" i="1"/>
  <c r="W16" i="1" s="1"/>
  <c r="F17" i="1"/>
  <c r="M17" i="3"/>
  <c r="E18" i="2"/>
  <c r="O18" i="2" s="1"/>
  <c r="K17" i="3"/>
  <c r="T17" i="3" s="1"/>
  <c r="I17" i="2"/>
  <c r="G17" i="2"/>
  <c r="H17" i="2" s="1"/>
  <c r="B18" i="3" s="1"/>
  <c r="L17" i="3"/>
  <c r="P19" i="1"/>
  <c r="N19" i="2" s="1"/>
  <c r="Y18" i="2"/>
  <c r="K16" i="1"/>
  <c r="U16" i="1" s="1"/>
  <c r="M16" i="1"/>
  <c r="S16" i="1"/>
  <c r="X16" i="1" s="1"/>
  <c r="Q16" i="2" l="1"/>
  <c r="R16" i="2" s="1"/>
  <c r="I17" i="1"/>
  <c r="G17" i="1"/>
  <c r="H17" i="1" s="1"/>
  <c r="B18" i="2" s="1"/>
  <c r="J17" i="2"/>
  <c r="S17" i="2" s="1"/>
  <c r="X17" i="2" s="1"/>
  <c r="X19" i="3"/>
  <c r="S17" i="3"/>
  <c r="F18" i="3"/>
  <c r="P20" i="2"/>
  <c r="N20" i="3" s="1"/>
  <c r="N16" i="1"/>
  <c r="Q16" i="1" s="1"/>
  <c r="R16" i="1" s="1"/>
  <c r="Y16" i="1"/>
  <c r="C19" i="3"/>
  <c r="D19" i="3" s="1"/>
  <c r="P17" i="3" l="1"/>
  <c r="Q17" i="3" s="1"/>
  <c r="L17" i="2"/>
  <c r="F18" i="2" s="1"/>
  <c r="C19" i="2"/>
  <c r="D19" i="2" s="1"/>
  <c r="M17" i="2"/>
  <c r="E18" i="1"/>
  <c r="O18" i="1" s="1"/>
  <c r="K17" i="2"/>
  <c r="U17" i="2" s="1"/>
  <c r="J17" i="1"/>
  <c r="L17" i="1" s="1"/>
  <c r="G18" i="3"/>
  <c r="H18" i="3" s="1"/>
  <c r="I18" i="3"/>
  <c r="E20" i="3" l="1"/>
  <c r="O18" i="3"/>
  <c r="T17" i="2"/>
  <c r="V17" i="1"/>
  <c r="W17" i="1" s="1"/>
  <c r="F18" i="1"/>
  <c r="T17" i="1"/>
  <c r="Y19" i="2"/>
  <c r="I18" i="2"/>
  <c r="G18" i="2"/>
  <c r="H18" i="2" s="1"/>
  <c r="B19" i="3" s="1"/>
  <c r="S17" i="1"/>
  <c r="X17" i="1" s="1"/>
  <c r="M17" i="1"/>
  <c r="K17" i="1"/>
  <c r="U17" i="1" s="1"/>
  <c r="P20" i="1"/>
  <c r="N20" i="2" s="1"/>
  <c r="J18" i="3"/>
  <c r="L18" i="3" l="1"/>
  <c r="S18" i="3" s="1"/>
  <c r="R18" i="3"/>
  <c r="W18" i="3" s="1"/>
  <c r="Q17" i="2"/>
  <c r="R17" i="2" s="1"/>
  <c r="C20" i="3"/>
  <c r="D20" i="3" s="1"/>
  <c r="M18" i="3"/>
  <c r="E19" i="2"/>
  <c r="O19" i="2" s="1"/>
  <c r="K18" i="3"/>
  <c r="T18" i="3" s="1"/>
  <c r="J18" i="2"/>
  <c r="S18" i="2" s="1"/>
  <c r="X18" i="2" s="1"/>
  <c r="Y17" i="1"/>
  <c r="N17" i="1"/>
  <c r="Q17" i="1" s="1"/>
  <c r="R17" i="1" s="1"/>
  <c r="G18" i="1"/>
  <c r="H18" i="1" s="1"/>
  <c r="B19" i="2" s="1"/>
  <c r="I18" i="1"/>
  <c r="P18" i="3" l="1"/>
  <c r="Q18" i="3" s="1"/>
  <c r="F19" i="3"/>
  <c r="I19" i="3" s="1"/>
  <c r="P21" i="2"/>
  <c r="N21" i="3" s="1"/>
  <c r="E19" i="1"/>
  <c r="O19" i="1" s="1"/>
  <c r="M18" i="2"/>
  <c r="K18" i="2"/>
  <c r="U18" i="2" s="1"/>
  <c r="L18" i="2"/>
  <c r="J18" i="1"/>
  <c r="C20" i="2"/>
  <c r="D20" i="2" s="1"/>
  <c r="X20" i="3"/>
  <c r="G19" i="3" l="1"/>
  <c r="H19" i="3" s="1"/>
  <c r="J19" i="3"/>
  <c r="R19" i="3" s="1"/>
  <c r="Y20" i="2"/>
  <c r="P21" i="1"/>
  <c r="N21" i="2" s="1"/>
  <c r="S18" i="1"/>
  <c r="X18" i="1" s="1"/>
  <c r="M18" i="1"/>
  <c r="K18" i="1"/>
  <c r="U18" i="1" s="1"/>
  <c r="L18" i="1"/>
  <c r="T18" i="2"/>
  <c r="F19" i="2"/>
  <c r="E21" i="3" l="1"/>
  <c r="O19" i="3"/>
  <c r="W19" i="3" s="1"/>
  <c r="Q18" i="2"/>
  <c r="R18" i="2" s="1"/>
  <c r="G19" i="2"/>
  <c r="H19" i="2" s="1"/>
  <c r="B20" i="3" s="1"/>
  <c r="I19" i="2"/>
  <c r="V18" i="1"/>
  <c r="W18" i="1" s="1"/>
  <c r="T18" i="1"/>
  <c r="F19" i="1"/>
  <c r="N18" i="1"/>
  <c r="Y18" i="1"/>
  <c r="M19" i="3"/>
  <c r="E20" i="2"/>
  <c r="O20" i="2" s="1"/>
  <c r="K19" i="3"/>
  <c r="T19" i="3" s="1"/>
  <c r="L19" i="3"/>
  <c r="Q18" i="1" l="1"/>
  <c r="R18" i="1" s="1"/>
  <c r="I19" i="1"/>
  <c r="G19" i="1"/>
  <c r="H19" i="1" s="1"/>
  <c r="B20" i="2" s="1"/>
  <c r="S19" i="3"/>
  <c r="F20" i="3"/>
  <c r="P22" i="2"/>
  <c r="N22" i="3" s="1"/>
  <c r="X21" i="3"/>
  <c r="J19" i="2"/>
  <c r="S19" i="2" s="1"/>
  <c r="X19" i="2" s="1"/>
  <c r="C21" i="3"/>
  <c r="D21" i="3" s="1"/>
  <c r="P19" i="3" l="1"/>
  <c r="Q19" i="3" s="1"/>
  <c r="E20" i="1"/>
  <c r="O20" i="1" s="1"/>
  <c r="M19" i="2"/>
  <c r="K19" i="2"/>
  <c r="U19" i="2" s="1"/>
  <c r="I20" i="3"/>
  <c r="G20" i="3"/>
  <c r="H20" i="3" s="1"/>
  <c r="L19" i="2"/>
  <c r="C21" i="2"/>
  <c r="D21" i="2" s="1"/>
  <c r="J19" i="1"/>
  <c r="E22" i="3" l="1"/>
  <c r="O20" i="3"/>
  <c r="P22" i="1"/>
  <c r="N22" i="2" s="1"/>
  <c r="T19" i="2"/>
  <c r="F20" i="2"/>
  <c r="S19" i="1"/>
  <c r="X19" i="1" s="1"/>
  <c r="K19" i="1"/>
  <c r="U19" i="1" s="1"/>
  <c r="M19" i="1"/>
  <c r="L19" i="1"/>
  <c r="J20" i="3"/>
  <c r="R20" i="3" s="1"/>
  <c r="W20" i="3" s="1"/>
  <c r="Y21" i="2"/>
  <c r="Q19" i="2" l="1"/>
  <c r="R19" i="2" s="1"/>
  <c r="N19" i="1"/>
  <c r="Y19" i="1"/>
  <c r="E21" i="2"/>
  <c r="O21" i="2" s="1"/>
  <c r="M20" i="3"/>
  <c r="K20" i="3"/>
  <c r="T20" i="3" s="1"/>
  <c r="L20" i="3"/>
  <c r="G20" i="2"/>
  <c r="H20" i="2" s="1"/>
  <c r="B21" i="3" s="1"/>
  <c r="I20" i="2"/>
  <c r="F20" i="1"/>
  <c r="T19" i="1"/>
  <c r="V19" i="1"/>
  <c r="W19" i="1" s="1"/>
  <c r="Q19" i="1" l="1"/>
  <c r="R19" i="1" s="1"/>
  <c r="S20" i="3"/>
  <c r="F21" i="3"/>
  <c r="P23" i="2"/>
  <c r="N23" i="3" s="1"/>
  <c r="I20" i="1"/>
  <c r="G20" i="1"/>
  <c r="H20" i="1" s="1"/>
  <c r="B21" i="2" s="1"/>
  <c r="C22" i="3"/>
  <c r="D22" i="3" s="1"/>
  <c r="X22" i="3"/>
  <c r="J20" i="2"/>
  <c r="S20" i="2" s="1"/>
  <c r="X20" i="2" s="1"/>
  <c r="P20" i="3" l="1"/>
  <c r="Q20" i="3" s="1"/>
  <c r="E21" i="1"/>
  <c r="O21" i="1" s="1"/>
  <c r="M20" i="2"/>
  <c r="K20" i="2"/>
  <c r="U20" i="2" s="1"/>
  <c r="L20" i="2"/>
  <c r="C22" i="2"/>
  <c r="D22" i="2" s="1"/>
  <c r="J20" i="1"/>
  <c r="G21" i="3"/>
  <c r="H21" i="3" s="1"/>
  <c r="I21" i="3"/>
  <c r="E23" i="3" l="1"/>
  <c r="O21" i="3"/>
  <c r="J21" i="3"/>
  <c r="R21" i="3" s="1"/>
  <c r="T20" i="2"/>
  <c r="F21" i="2"/>
  <c r="Y22" i="2"/>
  <c r="K20" i="1"/>
  <c r="U20" i="1" s="1"/>
  <c r="M20" i="1"/>
  <c r="S20" i="1"/>
  <c r="X20" i="1" s="1"/>
  <c r="P23" i="1"/>
  <c r="N23" i="2" s="1"/>
  <c r="L20" i="1"/>
  <c r="W21" i="3" l="1"/>
  <c r="Q20" i="2"/>
  <c r="R20" i="2" s="1"/>
  <c r="T20" i="1"/>
  <c r="F21" i="1"/>
  <c r="V20" i="1"/>
  <c r="W20" i="1" s="1"/>
  <c r="I21" i="2"/>
  <c r="G21" i="2"/>
  <c r="H21" i="2" s="1"/>
  <c r="B22" i="3" s="1"/>
  <c r="N20" i="1"/>
  <c r="Y20" i="1"/>
  <c r="E22" i="2"/>
  <c r="O22" i="2" s="1"/>
  <c r="M21" i="3"/>
  <c r="K21" i="3"/>
  <c r="T21" i="3" s="1"/>
  <c r="L21" i="3"/>
  <c r="Q20" i="1" l="1"/>
  <c r="R20" i="1" s="1"/>
  <c r="C23" i="3"/>
  <c r="D23" i="3" s="1"/>
  <c r="F22" i="3"/>
  <c r="S21" i="3"/>
  <c r="J21" i="2"/>
  <c r="S21" i="2" s="1"/>
  <c r="X23" i="3"/>
  <c r="P24" i="2"/>
  <c r="N24" i="3" s="1"/>
  <c r="I21" i="1"/>
  <c r="G21" i="1"/>
  <c r="H21" i="1" s="1"/>
  <c r="B22" i="2" s="1"/>
  <c r="X21" i="2" l="1"/>
  <c r="P21" i="3"/>
  <c r="Q21" i="3" s="1"/>
  <c r="L21" i="2"/>
  <c r="T21" i="2" s="1"/>
  <c r="Q21" i="2" s="1"/>
  <c r="I22" i="3"/>
  <c r="G22" i="3"/>
  <c r="H22" i="3" s="1"/>
  <c r="C23" i="2"/>
  <c r="D23" i="2" s="1"/>
  <c r="E22" i="1"/>
  <c r="O22" i="1" s="1"/>
  <c r="M21" i="2"/>
  <c r="K21" i="2"/>
  <c r="U21" i="2" s="1"/>
  <c r="J21" i="1"/>
  <c r="L21" i="1" s="1"/>
  <c r="E24" i="3" l="1"/>
  <c r="O22" i="3"/>
  <c r="F22" i="2"/>
  <c r="I22" i="2" s="1"/>
  <c r="T21" i="1"/>
  <c r="F22" i="1"/>
  <c r="V21" i="1"/>
  <c r="W21" i="1" s="1"/>
  <c r="R21" i="2"/>
  <c r="J22" i="3"/>
  <c r="K21" i="1"/>
  <c r="U21" i="1" s="1"/>
  <c r="M21" i="1"/>
  <c r="S21" i="1"/>
  <c r="Y23" i="2"/>
  <c r="P24" i="1"/>
  <c r="N24" i="2" s="1"/>
  <c r="X21" i="1" l="1"/>
  <c r="L22" i="3"/>
  <c r="F23" i="3" s="1"/>
  <c r="R22" i="3"/>
  <c r="G22" i="2"/>
  <c r="H22" i="2" s="1"/>
  <c r="B23" i="3" s="1"/>
  <c r="J22" i="2"/>
  <c r="M22" i="3"/>
  <c r="E23" i="2"/>
  <c r="O23" i="2" s="1"/>
  <c r="K22" i="3"/>
  <c r="N21" i="1"/>
  <c r="Q21" i="1" s="1"/>
  <c r="R21" i="1" s="1"/>
  <c r="Y21" i="1"/>
  <c r="G22" i="1"/>
  <c r="H22" i="1" s="1"/>
  <c r="B23" i="2" s="1"/>
  <c r="I22" i="1"/>
  <c r="C24" i="3" l="1"/>
  <c r="D24" i="3" s="1"/>
  <c r="W22" i="3"/>
  <c r="S22" i="3"/>
  <c r="L22" i="2"/>
  <c r="T22" i="2" s="1"/>
  <c r="S22" i="2"/>
  <c r="P25" i="2"/>
  <c r="N25" i="3" s="1"/>
  <c r="X24" i="3"/>
  <c r="J22" i="1"/>
  <c r="C24" i="2"/>
  <c r="D24" i="2" s="1"/>
  <c r="M22" i="2"/>
  <c r="E23" i="1"/>
  <c r="O23" i="1" s="1"/>
  <c r="K22" i="2"/>
  <c r="G23" i="3"/>
  <c r="H23" i="3" s="1"/>
  <c r="I23" i="3"/>
  <c r="T22" i="3"/>
  <c r="E25" i="3" l="1"/>
  <c r="O23" i="3"/>
  <c r="P22" i="3"/>
  <c r="Q22" i="3" s="1"/>
  <c r="X22" i="2"/>
  <c r="Q22" i="2"/>
  <c r="F23" i="2"/>
  <c r="I23" i="2" s="1"/>
  <c r="U22" i="2"/>
  <c r="P25" i="1"/>
  <c r="N25" i="2" s="1"/>
  <c r="J23" i="3"/>
  <c r="Y24" i="2"/>
  <c r="K22" i="1"/>
  <c r="M22" i="1"/>
  <c r="S22" i="1"/>
  <c r="L22" i="1"/>
  <c r="R23" i="3" l="1"/>
  <c r="X22" i="1"/>
  <c r="G23" i="2"/>
  <c r="H23" i="2" s="1"/>
  <c r="B24" i="3" s="1"/>
  <c r="N22" i="1"/>
  <c r="Y22" i="1"/>
  <c r="M23" i="3"/>
  <c r="E24" i="2"/>
  <c r="O24" i="2" s="1"/>
  <c r="K23" i="3"/>
  <c r="J23" i="2"/>
  <c r="U22" i="1"/>
  <c r="L23" i="3"/>
  <c r="T22" i="1"/>
  <c r="F23" i="1"/>
  <c r="V22" i="1"/>
  <c r="W22" i="1" s="1"/>
  <c r="W23" i="3" l="1"/>
  <c r="C25" i="3"/>
  <c r="D25" i="3" s="1"/>
  <c r="L23" i="2"/>
  <c r="F24" i="2" s="1"/>
  <c r="S23" i="2"/>
  <c r="T23" i="3"/>
  <c r="R22" i="2"/>
  <c r="P26" i="2"/>
  <c r="N26" i="3" s="1"/>
  <c r="Q22" i="1"/>
  <c r="E24" i="1"/>
  <c r="O24" i="1" s="1"/>
  <c r="M23" i="2"/>
  <c r="K23" i="2"/>
  <c r="G23" i="1"/>
  <c r="H23" i="1" s="1"/>
  <c r="B24" i="2" s="1"/>
  <c r="I23" i="1"/>
  <c r="S23" i="3"/>
  <c r="F24" i="3"/>
  <c r="X25" i="3"/>
  <c r="P23" i="3" l="1"/>
  <c r="X23" i="2"/>
  <c r="T23" i="2"/>
  <c r="J23" i="1"/>
  <c r="Y25" i="2"/>
  <c r="I24" i="2"/>
  <c r="G24" i="2"/>
  <c r="H24" i="2" s="1"/>
  <c r="B25" i="3" s="1"/>
  <c r="R22" i="1"/>
  <c r="C25" i="2"/>
  <c r="D25" i="2" s="1"/>
  <c r="U23" i="2"/>
  <c r="I24" i="3"/>
  <c r="G24" i="3"/>
  <c r="H24" i="3" s="1"/>
  <c r="P26" i="1"/>
  <c r="N26" i="2" s="1"/>
  <c r="E26" i="3" l="1"/>
  <c r="O24" i="3"/>
  <c r="Q23" i="2"/>
  <c r="K23" i="1"/>
  <c r="S23" i="1"/>
  <c r="M23" i="1"/>
  <c r="J24" i="2"/>
  <c r="Q23" i="3"/>
  <c r="C26" i="3"/>
  <c r="D26" i="3" s="1"/>
  <c r="L23" i="1"/>
  <c r="J24" i="3"/>
  <c r="R23" i="2" l="1"/>
  <c r="S24" i="2"/>
  <c r="X23" i="1"/>
  <c r="L24" i="3"/>
  <c r="F25" i="3" s="1"/>
  <c r="R24" i="3"/>
  <c r="F24" i="1"/>
  <c r="V23" i="1"/>
  <c r="W23" i="1" s="1"/>
  <c r="T23" i="1"/>
  <c r="Y23" i="1"/>
  <c r="N23" i="1"/>
  <c r="U23" i="1"/>
  <c r="E25" i="1"/>
  <c r="O25" i="1" s="1"/>
  <c r="M24" i="2"/>
  <c r="K24" i="2"/>
  <c r="L24" i="2"/>
  <c r="M24" i="3"/>
  <c r="E25" i="2"/>
  <c r="O25" i="2" s="1"/>
  <c r="K24" i="3"/>
  <c r="X24" i="2" l="1"/>
  <c r="W24" i="3"/>
  <c r="S24" i="3"/>
  <c r="Q23" i="1"/>
  <c r="R23" i="1" s="1"/>
  <c r="X26" i="3"/>
  <c r="U24" i="2"/>
  <c r="T24" i="3"/>
  <c r="F25" i="2"/>
  <c r="T24" i="2"/>
  <c r="G25" i="3"/>
  <c r="H25" i="3" s="1"/>
  <c r="I25" i="3"/>
  <c r="Y26" i="2"/>
  <c r="P27" i="2"/>
  <c r="N27" i="3" s="1"/>
  <c r="P27" i="1"/>
  <c r="N27" i="2" s="1"/>
  <c r="I24" i="1"/>
  <c r="G24" i="1"/>
  <c r="H24" i="1" s="1"/>
  <c r="B25" i="2" s="1"/>
  <c r="E27" i="3" l="1"/>
  <c r="O25" i="3"/>
  <c r="Q24" i="2"/>
  <c r="P24" i="3"/>
  <c r="I25" i="2"/>
  <c r="G25" i="2"/>
  <c r="H25" i="2" s="1"/>
  <c r="B26" i="3" s="1"/>
  <c r="J25" i="3"/>
  <c r="C26" i="2"/>
  <c r="D26" i="2" s="1"/>
  <c r="J24" i="1"/>
  <c r="L24" i="1" l="1"/>
  <c r="T24" i="1" s="1"/>
  <c r="L25" i="3"/>
  <c r="S25" i="3" s="1"/>
  <c r="R25" i="3"/>
  <c r="K24" i="1"/>
  <c r="S24" i="1"/>
  <c r="M24" i="1"/>
  <c r="Q24" i="3"/>
  <c r="M25" i="3"/>
  <c r="E26" i="2"/>
  <c r="O26" i="2" s="1"/>
  <c r="K25" i="3"/>
  <c r="R24" i="2"/>
  <c r="C27" i="3"/>
  <c r="D27" i="3" s="1"/>
  <c r="J25" i="2"/>
  <c r="S25" i="2" s="1"/>
  <c r="F25" i="1" l="1"/>
  <c r="I25" i="1" s="1"/>
  <c r="V24" i="1"/>
  <c r="W24" i="1" s="1"/>
  <c r="X24" i="1"/>
  <c r="X25" i="2"/>
  <c r="W25" i="3"/>
  <c r="P25" i="3"/>
  <c r="F26" i="3"/>
  <c r="I26" i="3" s="1"/>
  <c r="Y24" i="1"/>
  <c r="N24" i="1"/>
  <c r="Q24" i="1" s="1"/>
  <c r="T25" i="3"/>
  <c r="P28" i="2"/>
  <c r="N28" i="3" s="1"/>
  <c r="E26" i="1"/>
  <c r="O26" i="1" s="1"/>
  <c r="M25" i="2"/>
  <c r="K25" i="2"/>
  <c r="L25" i="2"/>
  <c r="U24" i="1"/>
  <c r="X27" i="3"/>
  <c r="G25" i="1" l="1"/>
  <c r="H25" i="1" s="1"/>
  <c r="B26" i="2" s="1"/>
  <c r="G26" i="3"/>
  <c r="H26" i="3" s="1"/>
  <c r="P28" i="1"/>
  <c r="N28" i="2" s="1"/>
  <c r="J26" i="3"/>
  <c r="J25" i="1"/>
  <c r="L25" i="1" s="1"/>
  <c r="U25" i="2"/>
  <c r="R24" i="1"/>
  <c r="T25" i="2"/>
  <c r="F26" i="2"/>
  <c r="Y27" i="2"/>
  <c r="Q25" i="3"/>
  <c r="E28" i="3" l="1"/>
  <c r="O26" i="3"/>
  <c r="C27" i="2"/>
  <c r="D27" i="2" s="1"/>
  <c r="Q25" i="2"/>
  <c r="L26" i="3"/>
  <c r="S26" i="3" s="1"/>
  <c r="R26" i="3"/>
  <c r="G26" i="2"/>
  <c r="H26" i="2" s="1"/>
  <c r="B27" i="3" s="1"/>
  <c r="I26" i="2"/>
  <c r="V25" i="1"/>
  <c r="W25" i="1" s="1"/>
  <c r="F26" i="1"/>
  <c r="T25" i="1"/>
  <c r="S25" i="1"/>
  <c r="M25" i="1"/>
  <c r="K25" i="1"/>
  <c r="E27" i="2"/>
  <c r="O27" i="2" s="1"/>
  <c r="M26" i="3"/>
  <c r="K26" i="3"/>
  <c r="W26" i="3" l="1"/>
  <c r="X25" i="1"/>
  <c r="P26" i="3"/>
  <c r="F27" i="3"/>
  <c r="I27" i="3" s="1"/>
  <c r="P29" i="2"/>
  <c r="N29" i="3" s="1"/>
  <c r="I26" i="1"/>
  <c r="G26" i="1"/>
  <c r="H26" i="1" s="1"/>
  <c r="B27" i="2" s="1"/>
  <c r="U25" i="1"/>
  <c r="N25" i="1"/>
  <c r="Q25" i="1" s="1"/>
  <c r="Y25" i="1"/>
  <c r="R25" i="2"/>
  <c r="J26" i="2"/>
  <c r="C28" i="3"/>
  <c r="D28" i="3" s="1"/>
  <c r="T26" i="3"/>
  <c r="X28" i="3"/>
  <c r="G27" i="3" l="1"/>
  <c r="H27" i="3" s="1"/>
  <c r="L26" i="2"/>
  <c r="F27" i="2" s="1"/>
  <c r="S26" i="2"/>
  <c r="Q26" i="3"/>
  <c r="R25" i="1"/>
  <c r="M26" i="2"/>
  <c r="E27" i="1"/>
  <c r="O27" i="1" s="1"/>
  <c r="K26" i="2"/>
  <c r="C28" i="2"/>
  <c r="D28" i="2" s="1"/>
  <c r="J26" i="1"/>
  <c r="J27" i="3"/>
  <c r="E29" i="3" l="1"/>
  <c r="O27" i="3"/>
  <c r="L26" i="1"/>
  <c r="V26" i="1" s="1"/>
  <c r="W26" i="1" s="1"/>
  <c r="X26" i="2"/>
  <c r="L27" i="3"/>
  <c r="F28" i="3" s="1"/>
  <c r="R27" i="3"/>
  <c r="T26" i="2"/>
  <c r="F27" i="1"/>
  <c r="T26" i="1"/>
  <c r="U26" i="2"/>
  <c r="P29" i="1"/>
  <c r="N29" i="2" s="1"/>
  <c r="Y28" i="2"/>
  <c r="M26" i="1"/>
  <c r="K26" i="1"/>
  <c r="S26" i="1"/>
  <c r="G27" i="2"/>
  <c r="H27" i="2" s="1"/>
  <c r="B28" i="3" s="1"/>
  <c r="I27" i="2"/>
  <c r="E28" i="2"/>
  <c r="O28" i="2" s="1"/>
  <c r="M27" i="3"/>
  <c r="K27" i="3"/>
  <c r="T27" i="3" l="1"/>
  <c r="W27" i="3"/>
  <c r="X26" i="1"/>
  <c r="Q26" i="2"/>
  <c r="S27" i="3"/>
  <c r="J27" i="2"/>
  <c r="I28" i="3"/>
  <c r="J28" i="3" s="1"/>
  <c r="G28" i="3"/>
  <c r="H28" i="3" s="1"/>
  <c r="U26" i="1"/>
  <c r="P30" i="2"/>
  <c r="N30" i="3" s="1"/>
  <c r="Y26" i="1"/>
  <c r="N26" i="1"/>
  <c r="Q26" i="1" s="1"/>
  <c r="C29" i="3"/>
  <c r="D29" i="3" s="1"/>
  <c r="I27" i="1"/>
  <c r="G27" i="1"/>
  <c r="H27" i="1" s="1"/>
  <c r="B28" i="2" s="1"/>
  <c r="X29" i="3"/>
  <c r="E30" i="3" l="1"/>
  <c r="O28" i="3"/>
  <c r="S27" i="2"/>
  <c r="P27" i="3"/>
  <c r="Q27" i="3" s="1"/>
  <c r="R26" i="2"/>
  <c r="K28" i="3"/>
  <c r="R28" i="3"/>
  <c r="M28" i="3"/>
  <c r="E29" i="2"/>
  <c r="O29" i="2" s="1"/>
  <c r="R26" i="1"/>
  <c r="L28" i="3"/>
  <c r="E28" i="1"/>
  <c r="O28" i="1" s="1"/>
  <c r="M27" i="2"/>
  <c r="K27" i="2"/>
  <c r="C29" i="2"/>
  <c r="D29" i="2" s="1"/>
  <c r="J27" i="1"/>
  <c r="L27" i="2"/>
  <c r="U27" i="2" l="1"/>
  <c r="W28" i="3"/>
  <c r="L27" i="1"/>
  <c r="F28" i="1" s="1"/>
  <c r="X27" i="2"/>
  <c r="T28" i="3"/>
  <c r="P30" i="1"/>
  <c r="N30" i="2" s="1"/>
  <c r="K27" i="1"/>
  <c r="M27" i="1"/>
  <c r="S27" i="1"/>
  <c r="S28" i="3"/>
  <c r="F29" i="3"/>
  <c r="P31" i="2"/>
  <c r="N31" i="3" s="1"/>
  <c r="T27" i="2"/>
  <c r="F28" i="2"/>
  <c r="Y29" i="2"/>
  <c r="X30" i="3"/>
  <c r="V27" i="1" l="1"/>
  <c r="W27" i="1" s="1"/>
  <c r="T27" i="1"/>
  <c r="U27" i="1"/>
  <c r="X27" i="1"/>
  <c r="P28" i="3"/>
  <c r="Q28" i="3" s="1"/>
  <c r="Q27" i="2"/>
  <c r="I28" i="2"/>
  <c r="G28" i="2"/>
  <c r="H28" i="2" s="1"/>
  <c r="B29" i="3" s="1"/>
  <c r="I28" i="1"/>
  <c r="G28" i="1"/>
  <c r="H28" i="1" s="1"/>
  <c r="B29" i="2" s="1"/>
  <c r="N27" i="1"/>
  <c r="Q27" i="1" s="1"/>
  <c r="R27" i="1" s="1"/>
  <c r="Y27" i="1"/>
  <c r="I29" i="3"/>
  <c r="G29" i="3"/>
  <c r="H29" i="3" s="1"/>
  <c r="E31" i="3" l="1"/>
  <c r="O29" i="3"/>
  <c r="R27" i="2"/>
  <c r="C30" i="2"/>
  <c r="D30" i="2" s="1"/>
  <c r="J28" i="1"/>
  <c r="J29" i="3"/>
  <c r="R29" i="3" s="1"/>
  <c r="C30" i="3"/>
  <c r="D30" i="3" s="1"/>
  <c r="J28" i="2"/>
  <c r="S28" i="2" l="1"/>
  <c r="W29" i="3"/>
  <c r="E29" i="1"/>
  <c r="O29" i="1" s="1"/>
  <c r="M28" i="2"/>
  <c r="K28" i="2"/>
  <c r="M29" i="3"/>
  <c r="E30" i="2"/>
  <c r="O30" i="2" s="1"/>
  <c r="L28" i="2"/>
  <c r="M28" i="1"/>
  <c r="K28" i="1"/>
  <c r="S28" i="1"/>
  <c r="L28" i="1"/>
  <c r="L29" i="3"/>
  <c r="K29" i="3"/>
  <c r="U28" i="1" l="1"/>
  <c r="U28" i="2"/>
  <c r="X28" i="2"/>
  <c r="T29" i="3"/>
  <c r="X28" i="1"/>
  <c r="P32" i="2"/>
  <c r="N32" i="3" s="1"/>
  <c r="T28" i="1"/>
  <c r="V28" i="1"/>
  <c r="W28" i="1" s="1"/>
  <c r="F29" i="1"/>
  <c r="N28" i="1"/>
  <c r="Y28" i="1"/>
  <c r="T28" i="2"/>
  <c r="F29" i="2"/>
  <c r="S29" i="3"/>
  <c r="F30" i="3"/>
  <c r="X31" i="3"/>
  <c r="Y30" i="2"/>
  <c r="P31" i="1"/>
  <c r="N31" i="2" s="1"/>
  <c r="P29" i="3" l="1"/>
  <c r="Q29" i="3" s="1"/>
  <c r="Q28" i="2"/>
  <c r="Q28" i="1"/>
  <c r="R28" i="1" s="1"/>
  <c r="I29" i="1"/>
  <c r="G29" i="1"/>
  <c r="H29" i="1" s="1"/>
  <c r="B30" i="2" s="1"/>
  <c r="G30" i="3"/>
  <c r="H30" i="3" s="1"/>
  <c r="I30" i="3"/>
  <c r="I29" i="2"/>
  <c r="G29" i="2"/>
  <c r="H29" i="2" s="1"/>
  <c r="B30" i="3" s="1"/>
  <c r="E32" i="3" l="1"/>
  <c r="O30" i="3"/>
  <c r="R28" i="2"/>
  <c r="C31" i="2"/>
  <c r="D31" i="2" s="1"/>
  <c r="J30" i="3"/>
  <c r="R30" i="3" s="1"/>
  <c r="C31" i="3"/>
  <c r="D31" i="3" s="1"/>
  <c r="J29" i="1"/>
  <c r="J29" i="2"/>
  <c r="S29" i="2" l="1"/>
  <c r="W30" i="3"/>
  <c r="E31" i="2"/>
  <c r="O31" i="2" s="1"/>
  <c r="M30" i="3"/>
  <c r="M29" i="2"/>
  <c r="E30" i="1"/>
  <c r="O30" i="1" s="1"/>
  <c r="K29" i="2"/>
  <c r="L29" i="2"/>
  <c r="K30" i="3"/>
  <c r="L30" i="3"/>
  <c r="S29" i="1"/>
  <c r="M29" i="1"/>
  <c r="K29" i="1"/>
  <c r="L29" i="1"/>
  <c r="U29" i="1" l="1"/>
  <c r="X29" i="1"/>
  <c r="T30" i="3"/>
  <c r="U29" i="2"/>
  <c r="X29" i="2"/>
  <c r="T29" i="2"/>
  <c r="F30" i="2"/>
  <c r="N29" i="1"/>
  <c r="Y29" i="1"/>
  <c r="Y31" i="2"/>
  <c r="P32" i="1"/>
  <c r="N32" i="2" s="1"/>
  <c r="X32" i="3"/>
  <c r="V29" i="1"/>
  <c r="W29" i="1" s="1"/>
  <c r="F30" i="1"/>
  <c r="T29" i="1"/>
  <c r="S30" i="3"/>
  <c r="F31" i="3"/>
  <c r="P33" i="2"/>
  <c r="N33" i="3" s="1"/>
  <c r="P30" i="3" l="1"/>
  <c r="Q30" i="3" s="1"/>
  <c r="Q29" i="2"/>
  <c r="G30" i="1"/>
  <c r="H30" i="1" s="1"/>
  <c r="B31" i="2" s="1"/>
  <c r="I30" i="1"/>
  <c r="G30" i="2"/>
  <c r="H30" i="2" s="1"/>
  <c r="B31" i="3" s="1"/>
  <c r="I30" i="2"/>
  <c r="Q29" i="1"/>
  <c r="R29" i="1" s="1"/>
  <c r="I31" i="3"/>
  <c r="G31" i="3"/>
  <c r="H31" i="3" s="1"/>
  <c r="E33" i="3" l="1"/>
  <c r="O31" i="3"/>
  <c r="R29" i="2"/>
  <c r="J30" i="2"/>
  <c r="C32" i="2"/>
  <c r="D32" i="2" s="1"/>
  <c r="J31" i="3"/>
  <c r="C32" i="3"/>
  <c r="D32" i="3" s="1"/>
  <c r="J30" i="1"/>
  <c r="L30" i="1" s="1"/>
  <c r="L31" i="3" l="1"/>
  <c r="F32" i="3" s="1"/>
  <c r="R31" i="3"/>
  <c r="L30" i="2"/>
  <c r="F31" i="2" s="1"/>
  <c r="S30" i="2"/>
  <c r="K31" i="3"/>
  <c r="T31" i="3" s="1"/>
  <c r="S30" i="1"/>
  <c r="K30" i="1"/>
  <c r="M30" i="1"/>
  <c r="T30" i="1"/>
  <c r="V30" i="1"/>
  <c r="W30" i="1" s="1"/>
  <c r="E31" i="1"/>
  <c r="O31" i="1" s="1"/>
  <c r="M30" i="2"/>
  <c r="K30" i="2"/>
  <c r="E32" i="2"/>
  <c r="O32" i="2" s="1"/>
  <c r="M31" i="3"/>
  <c r="U30" i="2" l="1"/>
  <c r="U30" i="1"/>
  <c r="W31" i="3"/>
  <c r="X30" i="1"/>
  <c r="X30" i="2"/>
  <c r="S31" i="3"/>
  <c r="P31" i="3" s="1"/>
  <c r="Q31" i="3" s="1"/>
  <c r="T30" i="2"/>
  <c r="Y30" i="1"/>
  <c r="N30" i="1"/>
  <c r="Q30" i="1" s="1"/>
  <c r="R30" i="1" s="1"/>
  <c r="X33" i="3"/>
  <c r="I32" i="3"/>
  <c r="G32" i="3"/>
  <c r="H32" i="3" s="1"/>
  <c r="F31" i="1"/>
  <c r="P33" i="1"/>
  <c r="N33" i="2" s="1"/>
  <c r="G31" i="2"/>
  <c r="H31" i="2" s="1"/>
  <c r="B32" i="3" s="1"/>
  <c r="I31" i="2"/>
  <c r="P34" i="2"/>
  <c r="N34" i="3" s="1"/>
  <c r="Y32" i="2"/>
  <c r="E34" i="3" l="1"/>
  <c r="O32" i="3"/>
  <c r="Q30" i="2"/>
  <c r="J32" i="3"/>
  <c r="C33" i="3"/>
  <c r="D33" i="3" s="1"/>
  <c r="I31" i="1"/>
  <c r="G31" i="1"/>
  <c r="H31" i="1" s="1"/>
  <c r="B32" i="2" s="1"/>
  <c r="J31" i="2"/>
  <c r="R30" i="2" l="1"/>
  <c r="K32" i="3"/>
  <c r="T32" i="3" s="1"/>
  <c r="R32" i="3"/>
  <c r="W32" i="3" s="1"/>
  <c r="L31" i="2"/>
  <c r="T31" i="2" s="1"/>
  <c r="S31" i="2"/>
  <c r="L32" i="3"/>
  <c r="S32" i="3" s="1"/>
  <c r="J31" i="1"/>
  <c r="C33" i="2"/>
  <c r="D33" i="2" s="1"/>
  <c r="M32" i="3"/>
  <c r="E33" i="2"/>
  <c r="O33" i="2" s="1"/>
  <c r="M31" i="2"/>
  <c r="E32" i="1"/>
  <c r="O32" i="1" s="1"/>
  <c r="K31" i="2"/>
  <c r="U31" i="2" s="1"/>
  <c r="X31" i="2" l="1"/>
  <c r="P32" i="3"/>
  <c r="Q32" i="3" s="1"/>
  <c r="Q31" i="2"/>
  <c r="R31" i="2" s="1"/>
  <c r="F32" i="2"/>
  <c r="G32" i="2" s="1"/>
  <c r="H32" i="2" s="1"/>
  <c r="B33" i="3" s="1"/>
  <c r="F33" i="3"/>
  <c r="I33" i="3" s="1"/>
  <c r="P35" i="2"/>
  <c r="N35" i="3" s="1"/>
  <c r="M31" i="1"/>
  <c r="K31" i="1"/>
  <c r="U31" i="1" s="1"/>
  <c r="S31" i="1"/>
  <c r="P34" i="1"/>
  <c r="N34" i="2" s="1"/>
  <c r="Y33" i="2"/>
  <c r="X34" i="3"/>
  <c r="L31" i="1"/>
  <c r="X31" i="1" l="1"/>
  <c r="I32" i="2"/>
  <c r="J32" i="2" s="1"/>
  <c r="G33" i="3"/>
  <c r="H33" i="3" s="1"/>
  <c r="J33" i="3"/>
  <c r="C34" i="3"/>
  <c r="D34" i="3" s="1"/>
  <c r="F32" i="1"/>
  <c r="T31" i="1"/>
  <c r="V31" i="1"/>
  <c r="W31" i="1" s="1"/>
  <c r="Y31" i="1"/>
  <c r="N31" i="1"/>
  <c r="E35" i="3" l="1"/>
  <c r="O33" i="3"/>
  <c r="L33" i="3"/>
  <c r="F34" i="3" s="1"/>
  <c r="R33" i="3"/>
  <c r="L32" i="2"/>
  <c r="F33" i="2" s="1"/>
  <c r="S32" i="2"/>
  <c r="X32" i="2" s="1"/>
  <c r="M33" i="3"/>
  <c r="E34" i="2"/>
  <c r="O34" i="2" s="1"/>
  <c r="I32" i="1"/>
  <c r="G32" i="1"/>
  <c r="H32" i="1" s="1"/>
  <c r="B33" i="2" s="1"/>
  <c r="E33" i="1"/>
  <c r="O33" i="1" s="1"/>
  <c r="M32" i="2"/>
  <c r="K32" i="2"/>
  <c r="U32" i="2" s="1"/>
  <c r="Q31" i="1"/>
  <c r="R31" i="1" s="1"/>
  <c r="K33" i="3"/>
  <c r="T33" i="3" s="1"/>
  <c r="W33" i="3" l="1"/>
  <c r="S33" i="3"/>
  <c r="P33" i="3" s="1"/>
  <c r="Q33" i="3" s="1"/>
  <c r="T32" i="2"/>
  <c r="Q32" i="2" s="1"/>
  <c r="R32" i="2" s="1"/>
  <c r="C34" i="2"/>
  <c r="D34" i="2" s="1"/>
  <c r="P36" i="2"/>
  <c r="N36" i="3" s="1"/>
  <c r="Y34" i="2"/>
  <c r="X35" i="3"/>
  <c r="I33" i="2"/>
  <c r="G33" i="2"/>
  <c r="H33" i="2" s="1"/>
  <c r="B34" i="3" s="1"/>
  <c r="I34" i="3"/>
  <c r="G34" i="3"/>
  <c r="H34" i="3" s="1"/>
  <c r="J32" i="1"/>
  <c r="L32" i="1" s="1"/>
  <c r="P35" i="1"/>
  <c r="N35" i="2" s="1"/>
  <c r="E36" i="3" l="1"/>
  <c r="O34" i="3"/>
  <c r="V32" i="1"/>
  <c r="W32" i="1" s="1"/>
  <c r="T32" i="1"/>
  <c r="F33" i="1"/>
  <c r="J34" i="3"/>
  <c r="R34" i="3" s="1"/>
  <c r="W34" i="3" s="1"/>
  <c r="C35" i="3"/>
  <c r="D35" i="3" s="1"/>
  <c r="J33" i="2"/>
  <c r="K32" i="1"/>
  <c r="U32" i="1" s="1"/>
  <c r="M32" i="1"/>
  <c r="S32" i="1"/>
  <c r="X32" i="1" s="1"/>
  <c r="L33" i="2" l="1"/>
  <c r="F34" i="2" s="1"/>
  <c r="S33" i="2"/>
  <c r="X33" i="2" s="1"/>
  <c r="M34" i="3"/>
  <c r="E35" i="2"/>
  <c r="O35" i="2" s="1"/>
  <c r="L34" i="3"/>
  <c r="N32" i="1"/>
  <c r="Q32" i="1" s="1"/>
  <c r="R32" i="1" s="1"/>
  <c r="Y32" i="1"/>
  <c r="K34" i="3"/>
  <c r="T34" i="3" s="1"/>
  <c r="G33" i="1"/>
  <c r="H33" i="1" s="1"/>
  <c r="B34" i="2" s="1"/>
  <c r="I33" i="1"/>
  <c r="M33" i="2"/>
  <c r="E34" i="1"/>
  <c r="O34" i="1" s="1"/>
  <c r="K33" i="2"/>
  <c r="U33" i="2" s="1"/>
  <c r="T33" i="2" l="1"/>
  <c r="P36" i="1"/>
  <c r="N36" i="2" s="1"/>
  <c r="Y35" i="2"/>
  <c r="G34" i="2"/>
  <c r="H34" i="2" s="1"/>
  <c r="B35" i="3" s="1"/>
  <c r="I34" i="2"/>
  <c r="C35" i="2"/>
  <c r="D35" i="2" s="1"/>
  <c r="S34" i="3"/>
  <c r="F35" i="3"/>
  <c r="X36" i="3"/>
  <c r="P37" i="2"/>
  <c r="N37" i="3" s="1"/>
  <c r="J33" i="1"/>
  <c r="L33" i="1" s="1"/>
  <c r="P34" i="3" l="1"/>
  <c r="Q34" i="3" s="1"/>
  <c r="Q33" i="2"/>
  <c r="R33" i="2" s="1"/>
  <c r="C36" i="3"/>
  <c r="D36" i="3" s="1"/>
  <c r="J34" i="2"/>
  <c r="S34" i="2" s="1"/>
  <c r="X34" i="2" s="1"/>
  <c r="I35" i="3"/>
  <c r="G35" i="3"/>
  <c r="H35" i="3" s="1"/>
  <c r="T33" i="1"/>
  <c r="V33" i="1"/>
  <c r="W33" i="1" s="1"/>
  <c r="F34" i="1"/>
  <c r="M33" i="1"/>
  <c r="K33" i="1"/>
  <c r="U33" i="1" s="1"/>
  <c r="S33" i="1"/>
  <c r="X33" i="1" s="1"/>
  <c r="E37" i="3" l="1"/>
  <c r="O35" i="3"/>
  <c r="N33" i="1"/>
  <c r="Q33" i="1" s="1"/>
  <c r="R33" i="1" s="1"/>
  <c r="Y33" i="1"/>
  <c r="I34" i="1"/>
  <c r="G34" i="1"/>
  <c r="H34" i="1" s="1"/>
  <c r="B35" i="2" s="1"/>
  <c r="E35" i="1"/>
  <c r="O35" i="1" s="1"/>
  <c r="M34" i="2"/>
  <c r="K34" i="2"/>
  <c r="U34" i="2" s="1"/>
  <c r="L34" i="2"/>
  <c r="J35" i="3"/>
  <c r="L35" i="3" l="1"/>
  <c r="S35" i="3" s="1"/>
  <c r="R35" i="3"/>
  <c r="W35" i="3" s="1"/>
  <c r="Y36" i="2"/>
  <c r="P37" i="1"/>
  <c r="N37" i="2" s="1"/>
  <c r="C36" i="2"/>
  <c r="D36" i="2" s="1"/>
  <c r="M35" i="3"/>
  <c r="E36" i="2"/>
  <c r="O36" i="2" s="1"/>
  <c r="K35" i="3"/>
  <c r="T35" i="3" s="1"/>
  <c r="J34" i="1"/>
  <c r="L34" i="1" s="1"/>
  <c r="T34" i="2"/>
  <c r="F35" i="2"/>
  <c r="P35" i="3" l="1"/>
  <c r="Q35" i="3" s="1"/>
  <c r="F36" i="3"/>
  <c r="I36" i="3" s="1"/>
  <c r="Q34" i="2"/>
  <c r="R34" i="2" s="1"/>
  <c r="F35" i="1"/>
  <c r="V34" i="1"/>
  <c r="W34" i="1" s="1"/>
  <c r="T34" i="1"/>
  <c r="I35" i="2"/>
  <c r="G35" i="2"/>
  <c r="H35" i="2" s="1"/>
  <c r="B36" i="3" s="1"/>
  <c r="M34" i="1"/>
  <c r="S34" i="1"/>
  <c r="X34" i="1" s="1"/>
  <c r="K34" i="1"/>
  <c r="U34" i="1" s="1"/>
  <c r="P38" i="2"/>
  <c r="N38" i="3" s="1"/>
  <c r="X37" i="3"/>
  <c r="G36" i="3" l="1"/>
  <c r="H36" i="3" s="1"/>
  <c r="N34" i="1"/>
  <c r="Q34" i="1" s="1"/>
  <c r="R34" i="1" s="1"/>
  <c r="Y34" i="1"/>
  <c r="J36" i="3"/>
  <c r="C37" i="3"/>
  <c r="D37" i="3" s="1"/>
  <c r="J35" i="2"/>
  <c r="S35" i="2" s="1"/>
  <c r="X35" i="2" s="1"/>
  <c r="I35" i="1"/>
  <c r="G35" i="1"/>
  <c r="H35" i="1" s="1"/>
  <c r="B36" i="2" s="1"/>
  <c r="E38" i="3" l="1"/>
  <c r="O36" i="3"/>
  <c r="K36" i="3"/>
  <c r="T36" i="3" s="1"/>
  <c r="R36" i="3"/>
  <c r="L35" i="2"/>
  <c r="F36" i="2" s="1"/>
  <c r="E36" i="1"/>
  <c r="O36" i="1" s="1"/>
  <c r="M35" i="2"/>
  <c r="K35" i="2"/>
  <c r="U35" i="2" s="1"/>
  <c r="C37" i="2"/>
  <c r="D37" i="2" s="1"/>
  <c r="J35" i="1"/>
  <c r="L35" i="1" s="1"/>
  <c r="E37" i="2"/>
  <c r="O37" i="2" s="1"/>
  <c r="M36" i="3"/>
  <c r="L36" i="3"/>
  <c r="W36" i="3" l="1"/>
  <c r="T35" i="2"/>
  <c r="T35" i="1"/>
  <c r="F36" i="1"/>
  <c r="V35" i="1"/>
  <c r="W35" i="1" s="1"/>
  <c r="F37" i="3"/>
  <c r="S36" i="3"/>
  <c r="P39" i="2"/>
  <c r="N39" i="3" s="1"/>
  <c r="P38" i="1"/>
  <c r="N38" i="2" s="1"/>
  <c r="X38" i="3"/>
  <c r="Y37" i="2"/>
  <c r="K35" i="1"/>
  <c r="U35" i="1" s="1"/>
  <c r="M35" i="1"/>
  <c r="S35" i="1"/>
  <c r="X35" i="1" s="1"/>
  <c r="I36" i="2"/>
  <c r="G36" i="2"/>
  <c r="H36" i="2" s="1"/>
  <c r="B37" i="3" s="1"/>
  <c r="P36" i="3" l="1"/>
  <c r="Q36" i="3" s="1"/>
  <c r="Q35" i="2"/>
  <c r="R35" i="2" s="1"/>
  <c r="G36" i="1"/>
  <c r="H36" i="1" s="1"/>
  <c r="B37" i="2" s="1"/>
  <c r="I36" i="1"/>
  <c r="N35" i="1"/>
  <c r="Q35" i="1" s="1"/>
  <c r="R35" i="1" s="1"/>
  <c r="Y35" i="1"/>
  <c r="C38" i="3"/>
  <c r="D38" i="3" s="1"/>
  <c r="J36" i="2"/>
  <c r="I37" i="3"/>
  <c r="J37" i="3" s="1"/>
  <c r="R37" i="3" s="1"/>
  <c r="G37" i="3"/>
  <c r="H37" i="3" s="1"/>
  <c r="E39" i="3" l="1"/>
  <c r="O37" i="3"/>
  <c r="W37" i="3" s="1"/>
  <c r="L36" i="2"/>
  <c r="T36" i="2" s="1"/>
  <c r="S36" i="2"/>
  <c r="X36" i="2" s="1"/>
  <c r="L37" i="3"/>
  <c r="J36" i="1"/>
  <c r="L36" i="1" s="1"/>
  <c r="E38" i="2"/>
  <c r="O38" i="2" s="1"/>
  <c r="M37" i="3"/>
  <c r="M36" i="2"/>
  <c r="E37" i="1"/>
  <c r="O37" i="1" s="1"/>
  <c r="K36" i="2"/>
  <c r="U36" i="2" s="1"/>
  <c r="K37" i="3"/>
  <c r="T37" i="3" s="1"/>
  <c r="C38" i="2"/>
  <c r="D38" i="2" s="1"/>
  <c r="Q36" i="2" l="1"/>
  <c r="R36" i="2" s="1"/>
  <c r="F37" i="2"/>
  <c r="I37" i="2" s="1"/>
  <c r="P39" i="1"/>
  <c r="N39" i="2" s="1"/>
  <c r="P40" i="2"/>
  <c r="N40" i="3" s="1"/>
  <c r="V36" i="1"/>
  <c r="W36" i="1" s="1"/>
  <c r="T36" i="1"/>
  <c r="F37" i="1"/>
  <c r="Y38" i="2"/>
  <c r="X39" i="3"/>
  <c r="S36" i="1"/>
  <c r="X36" i="1" s="1"/>
  <c r="M36" i="1"/>
  <c r="K36" i="1"/>
  <c r="U36" i="1" s="1"/>
  <c r="F38" i="3"/>
  <c r="S37" i="3"/>
  <c r="P37" i="3" l="1"/>
  <c r="Q37" i="3" s="1"/>
  <c r="G37" i="2"/>
  <c r="H37" i="2" s="1"/>
  <c r="B38" i="3" s="1"/>
  <c r="C39" i="3" s="1"/>
  <c r="D39" i="3" s="1"/>
  <c r="G37" i="1"/>
  <c r="H37" i="1" s="1"/>
  <c r="B38" i="2" s="1"/>
  <c r="I37" i="1"/>
  <c r="G38" i="3"/>
  <c r="H38" i="3" s="1"/>
  <c r="I38" i="3"/>
  <c r="J37" i="2"/>
  <c r="S37" i="2" s="1"/>
  <c r="X37" i="2" s="1"/>
  <c r="Y36" i="1"/>
  <c r="N36" i="1"/>
  <c r="Q36" i="1" s="1"/>
  <c r="R36" i="1" s="1"/>
  <c r="E40" i="3" l="1"/>
  <c r="O38" i="3"/>
  <c r="J38" i="3"/>
  <c r="E38" i="1"/>
  <c r="O38" i="1" s="1"/>
  <c r="M37" i="2"/>
  <c r="K37" i="2"/>
  <c r="U37" i="2" s="1"/>
  <c r="L37" i="2"/>
  <c r="J37" i="1"/>
  <c r="L37" i="1" s="1"/>
  <c r="C39" i="2"/>
  <c r="D39" i="2" s="1"/>
  <c r="E39" i="2" l="1"/>
  <c r="O39" i="2" s="1"/>
  <c r="P41" i="2" s="1"/>
  <c r="N41" i="3" s="1"/>
  <c r="R38" i="3"/>
  <c r="W38" i="3" s="1"/>
  <c r="L38" i="3"/>
  <c r="F39" i="3" s="1"/>
  <c r="K38" i="3"/>
  <c r="T38" i="3" s="1"/>
  <c r="M38" i="3"/>
  <c r="V37" i="1"/>
  <c r="W37" i="1" s="1"/>
  <c r="F38" i="1"/>
  <c r="T37" i="1"/>
  <c r="F38" i="2"/>
  <c r="T37" i="2"/>
  <c r="Y39" i="2"/>
  <c r="S37" i="1"/>
  <c r="X37" i="1" s="1"/>
  <c r="K37" i="1"/>
  <c r="U37" i="1" s="1"/>
  <c r="M37" i="1"/>
  <c r="P40" i="1"/>
  <c r="N40" i="2" s="1"/>
  <c r="X40" i="3" l="1"/>
  <c r="S38" i="3"/>
  <c r="Q37" i="2"/>
  <c r="R37" i="2" s="1"/>
  <c r="Y37" i="1"/>
  <c r="N37" i="1"/>
  <c r="Q37" i="1" s="1"/>
  <c r="R37" i="1" s="1"/>
  <c r="G38" i="2"/>
  <c r="H38" i="2" s="1"/>
  <c r="B39" i="3" s="1"/>
  <c r="I38" i="2"/>
  <c r="I39" i="3"/>
  <c r="G39" i="3"/>
  <c r="H39" i="3" s="1"/>
  <c r="G38" i="1"/>
  <c r="H38" i="1" s="1"/>
  <c r="B39" i="2" s="1"/>
  <c r="I38" i="1"/>
  <c r="E41" i="3" l="1"/>
  <c r="O39" i="3"/>
  <c r="P38" i="3"/>
  <c r="Q38" i="3" s="1"/>
  <c r="J38" i="2"/>
  <c r="J39" i="3"/>
  <c r="C40" i="3"/>
  <c r="D40" i="3" s="1"/>
  <c r="J38" i="1"/>
  <c r="L38" i="1" s="1"/>
  <c r="C40" i="2"/>
  <c r="D40" i="2" s="1"/>
  <c r="K39" i="3" l="1"/>
  <c r="T39" i="3" s="1"/>
  <c r="R39" i="3"/>
  <c r="W39" i="3" s="1"/>
  <c r="L38" i="2"/>
  <c r="T38" i="2" s="1"/>
  <c r="S38" i="2"/>
  <c r="X38" i="2" s="1"/>
  <c r="L39" i="3"/>
  <c r="S39" i="3" s="1"/>
  <c r="T38" i="1"/>
  <c r="V38" i="1"/>
  <c r="W38" i="1" s="1"/>
  <c r="M39" i="3"/>
  <c r="E40" i="2"/>
  <c r="O40" i="2" s="1"/>
  <c r="S38" i="1"/>
  <c r="X38" i="1" s="1"/>
  <c r="K38" i="1"/>
  <c r="U38" i="1" s="1"/>
  <c r="M38" i="1"/>
  <c r="M38" i="2"/>
  <c r="E39" i="1"/>
  <c r="O39" i="1" s="1"/>
  <c r="K38" i="2"/>
  <c r="U38" i="2" s="1"/>
  <c r="P39" i="3" l="1"/>
  <c r="Q39" i="3" s="1"/>
  <c r="Q38" i="2"/>
  <c r="R38" i="2" s="1"/>
  <c r="F40" i="3"/>
  <c r="G40" i="3" s="1"/>
  <c r="H40" i="3" s="1"/>
  <c r="F39" i="2"/>
  <c r="I39" i="2" s="1"/>
  <c r="Y38" i="1"/>
  <c r="N38" i="1"/>
  <c r="Q38" i="1" s="1"/>
  <c r="R38" i="1" s="1"/>
  <c r="P41" i="1"/>
  <c r="N41" i="2" s="1"/>
  <c r="F39" i="1"/>
  <c r="X41" i="3"/>
  <c r="Y40" i="2"/>
  <c r="P42" i="2"/>
  <c r="N42" i="3" s="1"/>
  <c r="E42" i="3" l="1"/>
  <c r="O40" i="3"/>
  <c r="I40" i="3"/>
  <c r="G39" i="2"/>
  <c r="H39" i="2" s="1"/>
  <c r="B40" i="3" s="1"/>
  <c r="C41" i="3" s="1"/>
  <c r="D41" i="3" s="1"/>
  <c r="G39" i="1"/>
  <c r="H39" i="1" s="1"/>
  <c r="B40" i="2" s="1"/>
  <c r="I39" i="1"/>
  <c r="J39" i="2"/>
  <c r="S39" i="2" s="1"/>
  <c r="X39" i="2" s="1"/>
  <c r="J40" i="3" l="1"/>
  <c r="E40" i="1"/>
  <c r="O40" i="1" s="1"/>
  <c r="M39" i="2"/>
  <c r="K39" i="2"/>
  <c r="U39" i="2" s="1"/>
  <c r="J39" i="1"/>
  <c r="L39" i="1" s="1"/>
  <c r="C41" i="2"/>
  <c r="D41" i="2" s="1"/>
  <c r="L39" i="2"/>
  <c r="M40" i="3" l="1"/>
  <c r="R40" i="3"/>
  <c r="W40" i="3" s="1"/>
  <c r="L40" i="3"/>
  <c r="F41" i="3" s="1"/>
  <c r="K40" i="3"/>
  <c r="T40" i="3" s="1"/>
  <c r="E41" i="2"/>
  <c r="O41" i="2" s="1"/>
  <c r="F40" i="1"/>
  <c r="T39" i="1"/>
  <c r="V39" i="1"/>
  <c r="W39" i="1" s="1"/>
  <c r="F40" i="2"/>
  <c r="T39" i="2"/>
  <c r="P42" i="1"/>
  <c r="N42" i="2" s="1"/>
  <c r="Y41" i="2"/>
  <c r="S39" i="1"/>
  <c r="X39" i="1" s="1"/>
  <c r="K39" i="1"/>
  <c r="U39" i="1" s="1"/>
  <c r="M39" i="1"/>
  <c r="X42" i="3" l="1"/>
  <c r="S40" i="3"/>
  <c r="P40" i="3" s="1"/>
  <c r="Q40" i="3" s="1"/>
  <c r="Q39" i="2"/>
  <c r="R39" i="2" s="1"/>
  <c r="P43" i="2"/>
  <c r="N43" i="3" s="1"/>
  <c r="G40" i="1"/>
  <c r="H40" i="1" s="1"/>
  <c r="B41" i="2" s="1"/>
  <c r="I40" i="1"/>
  <c r="G40" i="2"/>
  <c r="H40" i="2" s="1"/>
  <c r="B41" i="3" s="1"/>
  <c r="I40" i="2"/>
  <c r="N39" i="1"/>
  <c r="Q39" i="1" s="1"/>
  <c r="R39" i="1" s="1"/>
  <c r="Y39" i="1"/>
  <c r="G41" i="3"/>
  <c r="H41" i="3" s="1"/>
  <c r="I41" i="3"/>
  <c r="E43" i="3" l="1"/>
  <c r="O41" i="3"/>
  <c r="J41" i="3"/>
  <c r="R41" i="3" s="1"/>
  <c r="C42" i="3"/>
  <c r="D42" i="3" s="1"/>
  <c r="J40" i="1"/>
  <c r="L40" i="1" s="1"/>
  <c r="J40" i="2"/>
  <c r="S40" i="2" s="1"/>
  <c r="X40" i="2" s="1"/>
  <c r="C42" i="2"/>
  <c r="D42" i="2" s="1"/>
  <c r="W41" i="3" l="1"/>
  <c r="M41" i="3"/>
  <c r="E42" i="2"/>
  <c r="O42" i="2" s="1"/>
  <c r="L41" i="3"/>
  <c r="E41" i="1"/>
  <c r="O41" i="1" s="1"/>
  <c r="M40" i="2"/>
  <c r="K40" i="2"/>
  <c r="U40" i="2" s="1"/>
  <c r="L40" i="2"/>
  <c r="V40" i="1"/>
  <c r="W40" i="1" s="1"/>
  <c r="T40" i="1"/>
  <c r="M40" i="1"/>
  <c r="S40" i="1"/>
  <c r="X40" i="1" s="1"/>
  <c r="K40" i="1"/>
  <c r="U40" i="1" s="1"/>
  <c r="K41" i="3"/>
  <c r="T41" i="3" s="1"/>
  <c r="F41" i="1" l="1"/>
  <c r="I41" i="1" s="1"/>
  <c r="Y42" i="2"/>
  <c r="N40" i="1"/>
  <c r="Q40" i="1" s="1"/>
  <c r="R40" i="1" s="1"/>
  <c r="Y40" i="1"/>
  <c r="P44" i="2"/>
  <c r="N44" i="3" s="1"/>
  <c r="T40" i="2"/>
  <c r="F41" i="2"/>
  <c r="P43" i="1"/>
  <c r="N43" i="2" s="1"/>
  <c r="S41" i="3"/>
  <c r="F42" i="3"/>
  <c r="X43" i="3"/>
  <c r="P41" i="3" l="1"/>
  <c r="Q41" i="3" s="1"/>
  <c r="Q40" i="2"/>
  <c r="R40" i="2" s="1"/>
  <c r="G41" i="1"/>
  <c r="H41" i="1" s="1"/>
  <c r="B42" i="2" s="1"/>
  <c r="C43" i="2" s="1"/>
  <c r="D43" i="2" s="1"/>
  <c r="I41" i="2"/>
  <c r="G41" i="2"/>
  <c r="H41" i="2" s="1"/>
  <c r="B42" i="3" s="1"/>
  <c r="I42" i="3"/>
  <c r="G42" i="3"/>
  <c r="H42" i="3" s="1"/>
  <c r="J41" i="1"/>
  <c r="L41" i="1" s="1"/>
  <c r="E44" i="3" l="1"/>
  <c r="O42" i="3"/>
  <c r="J42" i="3"/>
  <c r="C43" i="3"/>
  <c r="D43" i="3" s="1"/>
  <c r="J41" i="2"/>
  <c r="S41" i="2" s="1"/>
  <c r="X41" i="2" s="1"/>
  <c r="T41" i="1"/>
  <c r="V41" i="1"/>
  <c r="W41" i="1" s="1"/>
  <c r="M41" i="1"/>
  <c r="S41" i="1"/>
  <c r="X41" i="1" s="1"/>
  <c r="K41" i="1"/>
  <c r="U41" i="1" s="1"/>
  <c r="L42" i="3" l="1"/>
  <c r="S42" i="3" s="1"/>
  <c r="R42" i="3"/>
  <c r="W42" i="3" s="1"/>
  <c r="L41" i="2"/>
  <c r="F42" i="2" s="1"/>
  <c r="E42" i="1"/>
  <c r="M41" i="2"/>
  <c r="K41" i="2"/>
  <c r="U41" i="2" s="1"/>
  <c r="Y41" i="1"/>
  <c r="N41" i="1"/>
  <c r="Q41" i="1" s="1"/>
  <c r="R41" i="1" s="1"/>
  <c r="E43" i="2"/>
  <c r="O43" i="2" s="1"/>
  <c r="M42" i="3"/>
  <c r="K42" i="3"/>
  <c r="T42" i="3" s="1"/>
  <c r="P42" i="3" l="1"/>
  <c r="Q42" i="3" s="1"/>
  <c r="F43" i="3"/>
  <c r="I43" i="3" s="1"/>
  <c r="T41" i="2"/>
  <c r="O42" i="1"/>
  <c r="F42" i="1"/>
  <c r="P45" i="2"/>
  <c r="N45" i="3" s="1"/>
  <c r="Y43" i="2"/>
  <c r="X44" i="3"/>
  <c r="I42" i="2"/>
  <c r="G42" i="2"/>
  <c r="H42" i="2" s="1"/>
  <c r="B43" i="3" s="1"/>
  <c r="G43" i="3" l="1"/>
  <c r="H43" i="3" s="1"/>
  <c r="Q41" i="2"/>
  <c r="R41" i="2" s="1"/>
  <c r="J43" i="3"/>
  <c r="C44" i="3"/>
  <c r="D44" i="3" s="1"/>
  <c r="P44" i="1"/>
  <c r="N44" i="2" s="1"/>
  <c r="J42" i="2"/>
  <c r="S42" i="2" s="1"/>
  <c r="X42" i="2" s="1"/>
  <c r="I42" i="1"/>
  <c r="G42" i="1"/>
  <c r="H42" i="1" s="1"/>
  <c r="B43" i="2" s="1"/>
  <c r="E45" i="3" l="1"/>
  <c r="O43" i="3"/>
  <c r="L43" i="3"/>
  <c r="S43" i="3" s="1"/>
  <c r="R43" i="3"/>
  <c r="C44" i="2"/>
  <c r="D44" i="2" s="1"/>
  <c r="J42" i="1"/>
  <c r="E44" i="2"/>
  <c r="O44" i="2" s="1"/>
  <c r="M43" i="3"/>
  <c r="M42" i="2"/>
  <c r="E43" i="1"/>
  <c r="O43" i="1" s="1"/>
  <c r="K42" i="2"/>
  <c r="U42" i="2" s="1"/>
  <c r="L42" i="2"/>
  <c r="K43" i="3"/>
  <c r="T43" i="3" s="1"/>
  <c r="W43" i="3" l="1"/>
  <c r="P43" i="3"/>
  <c r="Q43" i="3" s="1"/>
  <c r="F44" i="3"/>
  <c r="G44" i="3" s="1"/>
  <c r="H44" i="3" s="1"/>
  <c r="P45" i="1"/>
  <c r="N45" i="2" s="1"/>
  <c r="Y44" i="2"/>
  <c r="X45" i="3"/>
  <c r="F43" i="2"/>
  <c r="T42" i="2"/>
  <c r="P46" i="2"/>
  <c r="N46" i="3" s="1"/>
  <c r="M42" i="1"/>
  <c r="S42" i="1"/>
  <c r="X42" i="1" s="1"/>
  <c r="K42" i="1"/>
  <c r="U42" i="1" s="1"/>
  <c r="L42" i="1"/>
  <c r="E46" i="3" l="1"/>
  <c r="O44" i="3"/>
  <c r="I44" i="3"/>
  <c r="Q42" i="2"/>
  <c r="R42" i="2" s="1"/>
  <c r="N42" i="1"/>
  <c r="Y42" i="1"/>
  <c r="T42" i="1"/>
  <c r="V42" i="1"/>
  <c r="W42" i="1" s="1"/>
  <c r="F43" i="1"/>
  <c r="G43" i="2"/>
  <c r="H43" i="2" s="1"/>
  <c r="B44" i="3" s="1"/>
  <c r="I43" i="2"/>
  <c r="G43" i="1" l="1"/>
  <c r="H43" i="1" s="1"/>
  <c r="B44" i="2" s="1"/>
  <c r="I43" i="1"/>
  <c r="Q42" i="1"/>
  <c r="R42" i="1" s="1"/>
  <c r="J43" i="2"/>
  <c r="S43" i="2" s="1"/>
  <c r="X43" i="2" s="1"/>
  <c r="J44" i="3"/>
  <c r="C45" i="3"/>
  <c r="D45" i="3" s="1"/>
  <c r="K44" i="3" l="1"/>
  <c r="T44" i="3" s="1"/>
  <c r="R44" i="3"/>
  <c r="W44" i="3" s="1"/>
  <c r="E44" i="1"/>
  <c r="O44" i="1" s="1"/>
  <c r="M43" i="2"/>
  <c r="K43" i="2"/>
  <c r="U43" i="2" s="1"/>
  <c r="E45" i="2"/>
  <c r="O45" i="2" s="1"/>
  <c r="M44" i="3"/>
  <c r="L44" i="3"/>
  <c r="L43" i="2"/>
  <c r="J43" i="1"/>
  <c r="L43" i="1" s="1"/>
  <c r="C45" i="2"/>
  <c r="D45" i="2" s="1"/>
  <c r="F44" i="1" l="1"/>
  <c r="T43" i="1"/>
  <c r="V43" i="1"/>
  <c r="W43" i="1" s="1"/>
  <c r="X46" i="3"/>
  <c r="P47" i="2"/>
  <c r="N47" i="3" s="1"/>
  <c r="Y45" i="2"/>
  <c r="F44" i="2"/>
  <c r="T43" i="2"/>
  <c r="F45" i="3"/>
  <c r="S44" i="3"/>
  <c r="S43" i="1"/>
  <c r="X43" i="1" s="1"/>
  <c r="K43" i="1"/>
  <c r="U43" i="1" s="1"/>
  <c r="M43" i="1"/>
  <c r="P46" i="1"/>
  <c r="N46" i="2" s="1"/>
  <c r="P44" i="3" l="1"/>
  <c r="Q44" i="3" s="1"/>
  <c r="Q43" i="2"/>
  <c r="R43" i="2" s="1"/>
  <c r="G45" i="3"/>
  <c r="H45" i="3" s="1"/>
  <c r="I45" i="3"/>
  <c r="G44" i="2"/>
  <c r="H44" i="2" s="1"/>
  <c r="B45" i="3" s="1"/>
  <c r="I44" i="2"/>
  <c r="Y43" i="1"/>
  <c r="N43" i="1"/>
  <c r="Q43" i="1" s="1"/>
  <c r="R43" i="1" s="1"/>
  <c r="G44" i="1"/>
  <c r="H44" i="1" s="1"/>
  <c r="B45" i="2" s="1"/>
  <c r="I44" i="1"/>
  <c r="E47" i="3" l="1"/>
  <c r="O45" i="3"/>
  <c r="J44" i="2"/>
  <c r="J45" i="3"/>
  <c r="R45" i="3" s="1"/>
  <c r="C46" i="3"/>
  <c r="D46" i="3" s="1"/>
  <c r="J44" i="1"/>
  <c r="L44" i="1" s="1"/>
  <c r="C46" i="2"/>
  <c r="D46" i="2" s="1"/>
  <c r="W45" i="3" l="1"/>
  <c r="L44" i="2"/>
  <c r="T44" i="2" s="1"/>
  <c r="S44" i="2"/>
  <c r="X44" i="2" s="1"/>
  <c r="M45" i="3"/>
  <c r="E46" i="2"/>
  <c r="O46" i="2" s="1"/>
  <c r="L45" i="3"/>
  <c r="K45" i="3"/>
  <c r="T45" i="3" s="1"/>
  <c r="E45" i="1"/>
  <c r="O45" i="1" s="1"/>
  <c r="M44" i="2"/>
  <c r="K44" i="2"/>
  <c r="U44" i="2" s="1"/>
  <c r="V44" i="1"/>
  <c r="W44" i="1" s="1"/>
  <c r="T44" i="1"/>
  <c r="K44" i="1"/>
  <c r="U44" i="1" s="1"/>
  <c r="S44" i="1"/>
  <c r="X44" i="1" s="1"/>
  <c r="M44" i="1"/>
  <c r="Q44" i="2" l="1"/>
  <c r="R44" i="2" s="1"/>
  <c r="F45" i="2"/>
  <c r="I45" i="2" s="1"/>
  <c r="F45" i="1"/>
  <c r="G45" i="1" s="1"/>
  <c r="H45" i="1" s="1"/>
  <c r="B46" i="2" s="1"/>
  <c r="P48" i="2"/>
  <c r="N48" i="3" s="1"/>
  <c r="F46" i="3"/>
  <c r="S45" i="3"/>
  <c r="X47" i="3"/>
  <c r="N44" i="1"/>
  <c r="Q44" i="1" s="1"/>
  <c r="R44" i="1" s="1"/>
  <c r="Y44" i="1"/>
  <c r="Y46" i="2"/>
  <c r="P47" i="1"/>
  <c r="N47" i="2" s="1"/>
  <c r="P45" i="3" l="1"/>
  <c r="Q45" i="3" s="1"/>
  <c r="G45" i="2"/>
  <c r="H45" i="2" s="1"/>
  <c r="B46" i="3" s="1"/>
  <c r="C47" i="3" s="1"/>
  <c r="D47" i="3" s="1"/>
  <c r="I45" i="1"/>
  <c r="J45" i="1" s="1"/>
  <c r="J45" i="2"/>
  <c r="S45" i="2" s="1"/>
  <c r="X45" i="2" s="1"/>
  <c r="G46" i="3"/>
  <c r="H46" i="3" s="1"/>
  <c r="I46" i="3"/>
  <c r="C47" i="2"/>
  <c r="D47" i="2" s="1"/>
  <c r="E48" i="3" l="1"/>
  <c r="O46" i="3"/>
  <c r="L45" i="1"/>
  <c r="T45" i="1" s="1"/>
  <c r="E46" i="1"/>
  <c r="O46" i="1" s="1"/>
  <c r="M45" i="2"/>
  <c r="K45" i="2"/>
  <c r="U45" i="2" s="1"/>
  <c r="L45" i="2"/>
  <c r="M45" i="1"/>
  <c r="S45" i="1"/>
  <c r="X45" i="1" s="1"/>
  <c r="K45" i="1"/>
  <c r="U45" i="1" s="1"/>
  <c r="J46" i="3"/>
  <c r="L46" i="3" l="1"/>
  <c r="F47" i="3" s="1"/>
  <c r="R46" i="3"/>
  <c r="W46" i="3" s="1"/>
  <c r="F46" i="1"/>
  <c r="I46" i="1" s="1"/>
  <c r="V45" i="1"/>
  <c r="W45" i="1" s="1"/>
  <c r="E47" i="2"/>
  <c r="O47" i="2" s="1"/>
  <c r="M46" i="3"/>
  <c r="K46" i="3"/>
  <c r="T46" i="3" s="1"/>
  <c r="Y45" i="1"/>
  <c r="N45" i="1"/>
  <c r="Q45" i="1" s="1"/>
  <c r="R45" i="1" s="1"/>
  <c r="F46" i="2"/>
  <c r="T45" i="2"/>
  <c r="Y47" i="2"/>
  <c r="P48" i="1"/>
  <c r="N48" i="2" s="1"/>
  <c r="S46" i="3" l="1"/>
  <c r="Q45" i="2"/>
  <c r="R45" i="2" s="1"/>
  <c r="G46" i="1"/>
  <c r="H46" i="1" s="1"/>
  <c r="B47" i="2" s="1"/>
  <c r="C48" i="2" s="1"/>
  <c r="D48" i="2" s="1"/>
  <c r="J46" i="1"/>
  <c r="X48" i="3"/>
  <c r="G47" i="3"/>
  <c r="H47" i="3" s="1"/>
  <c r="I47" i="3"/>
  <c r="P49" i="2"/>
  <c r="N49" i="3" s="1"/>
  <c r="G46" i="2"/>
  <c r="H46" i="2" s="1"/>
  <c r="B47" i="3" s="1"/>
  <c r="I46" i="2"/>
  <c r="E49" i="3" l="1"/>
  <c r="O47" i="3"/>
  <c r="P46" i="3"/>
  <c r="Q46" i="3" s="1"/>
  <c r="J47" i="3"/>
  <c r="R47" i="3" s="1"/>
  <c r="C48" i="3"/>
  <c r="D48" i="3" s="1"/>
  <c r="K46" i="1"/>
  <c r="U46" i="1" s="1"/>
  <c r="M46" i="1"/>
  <c r="S46" i="1"/>
  <c r="X46" i="1" s="1"/>
  <c r="J46" i="2"/>
  <c r="L46" i="1"/>
  <c r="W47" i="3" l="1"/>
  <c r="L46" i="2"/>
  <c r="F47" i="2" s="1"/>
  <c r="S46" i="2"/>
  <c r="X46" i="2" s="1"/>
  <c r="N46" i="1"/>
  <c r="Y46" i="1"/>
  <c r="T46" i="1"/>
  <c r="V46" i="1"/>
  <c r="W46" i="1" s="1"/>
  <c r="E48" i="2"/>
  <c r="O48" i="2" s="1"/>
  <c r="M47" i="3"/>
  <c r="K47" i="3"/>
  <c r="T47" i="3" s="1"/>
  <c r="L47" i="3"/>
  <c r="M46" i="2"/>
  <c r="E47" i="1"/>
  <c r="O47" i="1" s="1"/>
  <c r="K46" i="2"/>
  <c r="U46" i="2" s="1"/>
  <c r="T46" i="2" l="1"/>
  <c r="Q46" i="2" s="1"/>
  <c r="R46" i="2" s="1"/>
  <c r="Y48" i="2"/>
  <c r="F48" i="3"/>
  <c r="S47" i="3"/>
  <c r="P49" i="1"/>
  <c r="N49" i="2" s="1"/>
  <c r="F47" i="1"/>
  <c r="Q46" i="1"/>
  <c r="R46" i="1" s="1"/>
  <c r="X49" i="3"/>
  <c r="P50" i="2"/>
  <c r="N50" i="3" s="1"/>
  <c r="I47" i="2"/>
  <c r="G47" i="2"/>
  <c r="H47" i="2" s="1"/>
  <c r="B48" i="3" s="1"/>
  <c r="P47" i="3" l="1"/>
  <c r="Q47" i="3" s="1"/>
  <c r="I48" i="3"/>
  <c r="J48" i="3" s="1"/>
  <c r="R48" i="3" s="1"/>
  <c r="G48" i="3"/>
  <c r="H48" i="3" s="1"/>
  <c r="I47" i="1"/>
  <c r="G47" i="1"/>
  <c r="H47" i="1" s="1"/>
  <c r="B48" i="2" s="1"/>
  <c r="C49" i="3"/>
  <c r="D49" i="3" s="1"/>
  <c r="J47" i="2"/>
  <c r="E50" i="3" l="1"/>
  <c r="O48" i="3"/>
  <c r="W48" i="3" s="1"/>
  <c r="L47" i="2"/>
  <c r="T47" i="2" s="1"/>
  <c r="S47" i="2"/>
  <c r="X47" i="2" s="1"/>
  <c r="M48" i="3"/>
  <c r="E49" i="2"/>
  <c r="O49" i="2" s="1"/>
  <c r="J47" i="1"/>
  <c r="E48" i="1"/>
  <c r="O48" i="1" s="1"/>
  <c r="M47" i="2"/>
  <c r="K47" i="2"/>
  <c r="U47" i="2" s="1"/>
  <c r="L48" i="3"/>
  <c r="K48" i="3"/>
  <c r="T48" i="3" s="1"/>
  <c r="C49" i="2"/>
  <c r="D49" i="2" s="1"/>
  <c r="Q47" i="2" l="1"/>
  <c r="R47" i="2" s="1"/>
  <c r="F48" i="2"/>
  <c r="G48" i="2" s="1"/>
  <c r="H48" i="2" s="1"/>
  <c r="B49" i="3" s="1"/>
  <c r="M47" i="1"/>
  <c r="S47" i="1"/>
  <c r="X47" i="1" s="1"/>
  <c r="K47" i="1"/>
  <c r="U47" i="1" s="1"/>
  <c r="P50" i="1"/>
  <c r="N50" i="2" s="1"/>
  <c r="L47" i="1"/>
  <c r="P51" i="2"/>
  <c r="N51" i="3" s="1"/>
  <c r="X50" i="3"/>
  <c r="F49" i="3"/>
  <c r="S48" i="3"/>
  <c r="Y49" i="2"/>
  <c r="P48" i="3" l="1"/>
  <c r="Q48" i="3" s="1"/>
  <c r="I48" i="2"/>
  <c r="J48" i="2" s="1"/>
  <c r="S48" i="2" s="1"/>
  <c r="X48" i="2" s="1"/>
  <c r="C50" i="3"/>
  <c r="D50" i="3" s="1"/>
  <c r="G49" i="3"/>
  <c r="H49" i="3" s="1"/>
  <c r="I49" i="3"/>
  <c r="T47" i="1"/>
  <c r="V47" i="1"/>
  <c r="W47" i="1" s="1"/>
  <c r="F48" i="1"/>
  <c r="Y47" i="1"/>
  <c r="N47" i="1"/>
  <c r="E51" i="3" l="1"/>
  <c r="O49" i="3"/>
  <c r="Q47" i="1"/>
  <c r="R47" i="1" s="1"/>
  <c r="G48" i="1"/>
  <c r="H48" i="1" s="1"/>
  <c r="B49" i="2" s="1"/>
  <c r="I48" i="1"/>
  <c r="J49" i="3"/>
  <c r="R49" i="3" s="1"/>
  <c r="W49" i="3" s="1"/>
  <c r="E49" i="1"/>
  <c r="O49" i="1" s="1"/>
  <c r="M48" i="2"/>
  <c r="K48" i="2"/>
  <c r="U48" i="2" s="1"/>
  <c r="L48" i="2"/>
  <c r="Y50" i="2" l="1"/>
  <c r="J48" i="1"/>
  <c r="E50" i="2"/>
  <c r="O50" i="2" s="1"/>
  <c r="M49" i="3"/>
  <c r="K49" i="3"/>
  <c r="T49" i="3" s="1"/>
  <c r="C50" i="2"/>
  <c r="D50" i="2" s="1"/>
  <c r="P51" i="1"/>
  <c r="N51" i="2" s="1"/>
  <c r="F49" i="2"/>
  <c r="T48" i="2"/>
  <c r="L49" i="3"/>
  <c r="Q48" i="2" l="1"/>
  <c r="R48" i="2" s="1"/>
  <c r="I49" i="2"/>
  <c r="G49" i="2"/>
  <c r="H49" i="2" s="1"/>
  <c r="B50" i="3" s="1"/>
  <c r="K48" i="1"/>
  <c r="U48" i="1" s="1"/>
  <c r="M48" i="1"/>
  <c r="S48" i="1"/>
  <c r="X48" i="1" s="1"/>
  <c r="F50" i="3"/>
  <c r="S49" i="3"/>
  <c r="X51" i="3"/>
  <c r="P52" i="2"/>
  <c r="N52" i="3" s="1"/>
  <c r="L48" i="1"/>
  <c r="P49" i="3" l="1"/>
  <c r="Q49" i="3" s="1"/>
  <c r="G50" i="3"/>
  <c r="H50" i="3" s="1"/>
  <c r="I50" i="3"/>
  <c r="J50" i="3" s="1"/>
  <c r="R50" i="3" s="1"/>
  <c r="F49" i="1"/>
  <c r="V48" i="1"/>
  <c r="W48" i="1" s="1"/>
  <c r="T48" i="1"/>
  <c r="C51" i="3"/>
  <c r="D51" i="3" s="1"/>
  <c r="Y48" i="1"/>
  <c r="N48" i="1"/>
  <c r="J49" i="2"/>
  <c r="S49" i="2" s="1"/>
  <c r="X49" i="2" s="1"/>
  <c r="E52" i="3" l="1"/>
  <c r="O50" i="3"/>
  <c r="W50" i="3" s="1"/>
  <c r="E51" i="2"/>
  <c r="O51" i="2" s="1"/>
  <c r="M50" i="3"/>
  <c r="M49" i="2"/>
  <c r="E50" i="1"/>
  <c r="O50" i="1" s="1"/>
  <c r="K49" i="2"/>
  <c r="U49" i="2" s="1"/>
  <c r="K50" i="3"/>
  <c r="T50" i="3" s="1"/>
  <c r="L49" i="2"/>
  <c r="Q48" i="1"/>
  <c r="R48" i="1" s="1"/>
  <c r="G49" i="1"/>
  <c r="H49" i="1" s="1"/>
  <c r="B50" i="2" s="1"/>
  <c r="I49" i="1"/>
  <c r="L50" i="3"/>
  <c r="F50" i="2" l="1"/>
  <c r="T49" i="2"/>
  <c r="Y51" i="2"/>
  <c r="F51" i="3"/>
  <c r="S50" i="3"/>
  <c r="J49" i="1"/>
  <c r="X52" i="3"/>
  <c r="P52" i="1"/>
  <c r="N52" i="2" s="1"/>
  <c r="C51" i="2"/>
  <c r="D51" i="2" s="1"/>
  <c r="P53" i="2"/>
  <c r="N53" i="3" s="1"/>
  <c r="P50" i="3" l="1"/>
  <c r="Q50" i="3" s="1"/>
  <c r="Q49" i="2"/>
  <c r="R49" i="2" s="1"/>
  <c r="S49" i="1"/>
  <c r="X49" i="1" s="1"/>
  <c r="M49" i="1"/>
  <c r="K49" i="1"/>
  <c r="U49" i="1" s="1"/>
  <c r="G51" i="3"/>
  <c r="H51" i="3" s="1"/>
  <c r="I51" i="3"/>
  <c r="L49" i="1"/>
  <c r="G50" i="2"/>
  <c r="H50" i="2" s="1"/>
  <c r="B51" i="3" s="1"/>
  <c r="I50" i="2"/>
  <c r="E53" i="3" l="1"/>
  <c r="O51" i="3"/>
  <c r="J50" i="2"/>
  <c r="N49" i="1"/>
  <c r="Y49" i="1"/>
  <c r="J51" i="3"/>
  <c r="C52" i="3"/>
  <c r="D52" i="3" s="1"/>
  <c r="T49" i="1"/>
  <c r="F50" i="1"/>
  <c r="V49" i="1"/>
  <c r="W49" i="1" s="1"/>
  <c r="L51" i="3" l="1"/>
  <c r="F52" i="3" s="1"/>
  <c r="R51" i="3"/>
  <c r="W51" i="3" s="1"/>
  <c r="L50" i="2"/>
  <c r="F51" i="2" s="1"/>
  <c r="S50" i="2"/>
  <c r="X50" i="2" s="1"/>
  <c r="M51" i="3"/>
  <c r="E52" i="2"/>
  <c r="O52" i="2" s="1"/>
  <c r="Q49" i="1"/>
  <c r="R49" i="1" s="1"/>
  <c r="K51" i="3"/>
  <c r="T51" i="3" s="1"/>
  <c r="I50" i="1"/>
  <c r="G50" i="1"/>
  <c r="H50" i="1" s="1"/>
  <c r="B51" i="2" s="1"/>
  <c r="E51" i="1"/>
  <c r="O51" i="1" s="1"/>
  <c r="M50" i="2"/>
  <c r="K50" i="2"/>
  <c r="U50" i="2" s="1"/>
  <c r="S51" i="3" l="1"/>
  <c r="P51" i="3" s="1"/>
  <c r="Q51" i="3" s="1"/>
  <c r="T50" i="2"/>
  <c r="Q50" i="2" s="1"/>
  <c r="R50" i="2" s="1"/>
  <c r="Y52" i="2"/>
  <c r="C52" i="2"/>
  <c r="D52" i="2" s="1"/>
  <c r="P54" i="2"/>
  <c r="N54" i="3" s="1"/>
  <c r="G51" i="2"/>
  <c r="H51" i="2" s="1"/>
  <c r="B52" i="3" s="1"/>
  <c r="I51" i="2"/>
  <c r="P53" i="1"/>
  <c r="N53" i="2" s="1"/>
  <c r="J50" i="1"/>
  <c r="X53" i="3"/>
  <c r="I52" i="3"/>
  <c r="G52" i="3"/>
  <c r="H52" i="3" s="1"/>
  <c r="E54" i="3" l="1"/>
  <c r="O52" i="3"/>
  <c r="K50" i="1"/>
  <c r="U50" i="1" s="1"/>
  <c r="S50" i="1"/>
  <c r="X50" i="1" s="1"/>
  <c r="M50" i="1"/>
  <c r="L50" i="1"/>
  <c r="J51" i="2"/>
  <c r="J52" i="3"/>
  <c r="R52" i="3" s="1"/>
  <c r="C53" i="3"/>
  <c r="D53" i="3" s="1"/>
  <c r="W52" i="3" l="1"/>
  <c r="L51" i="2"/>
  <c r="F52" i="2" s="1"/>
  <c r="S51" i="2"/>
  <c r="X51" i="2" s="1"/>
  <c r="E53" i="2"/>
  <c r="O53" i="2" s="1"/>
  <c r="M52" i="3"/>
  <c r="F51" i="1"/>
  <c r="V50" i="1"/>
  <c r="W50" i="1" s="1"/>
  <c r="T50" i="1"/>
  <c r="N50" i="1"/>
  <c r="Y50" i="1"/>
  <c r="K52" i="3"/>
  <c r="T52" i="3" s="1"/>
  <c r="M51" i="2"/>
  <c r="E52" i="1"/>
  <c r="O52" i="1" s="1"/>
  <c r="K51" i="2"/>
  <c r="U51" i="2" s="1"/>
  <c r="L52" i="3"/>
  <c r="Q50" i="1" l="1"/>
  <c r="R50" i="1" s="1"/>
  <c r="T51" i="2"/>
  <c r="G51" i="1"/>
  <c r="H51" i="1" s="1"/>
  <c r="B52" i="2" s="1"/>
  <c r="I51" i="1"/>
  <c r="X54" i="3"/>
  <c r="F53" i="3"/>
  <c r="S52" i="3"/>
  <c r="P54" i="1"/>
  <c r="N54" i="2" s="1"/>
  <c r="Y53" i="2"/>
  <c r="G52" i="2"/>
  <c r="H52" i="2" s="1"/>
  <c r="B53" i="3" s="1"/>
  <c r="I52" i="2"/>
  <c r="P55" i="2"/>
  <c r="N55" i="3" s="1"/>
  <c r="P52" i="3" l="1"/>
  <c r="Q52" i="3" s="1"/>
  <c r="Q51" i="2"/>
  <c r="R51" i="2" s="1"/>
  <c r="C54" i="3"/>
  <c r="D54" i="3" s="1"/>
  <c r="G53" i="3"/>
  <c r="H53" i="3" s="1"/>
  <c r="I53" i="3"/>
  <c r="J51" i="1"/>
  <c r="L51" i="1" s="1"/>
  <c r="J52" i="2"/>
  <c r="S52" i="2" s="1"/>
  <c r="X52" i="2" s="1"/>
  <c r="C53" i="2"/>
  <c r="D53" i="2" s="1"/>
  <c r="E55" i="3" l="1"/>
  <c r="O53" i="3"/>
  <c r="K52" i="2"/>
  <c r="U52" i="2" s="1"/>
  <c r="L52" i="2"/>
  <c r="T52" i="2" s="1"/>
  <c r="T51" i="1"/>
  <c r="V51" i="1"/>
  <c r="W51" i="1" s="1"/>
  <c r="F52" i="1"/>
  <c r="M52" i="2"/>
  <c r="E53" i="1"/>
  <c r="O53" i="1" s="1"/>
  <c r="M51" i="1"/>
  <c r="S51" i="1"/>
  <c r="X51" i="1" s="1"/>
  <c r="K51" i="1"/>
  <c r="U51" i="1" s="1"/>
  <c r="J53" i="3"/>
  <c r="L53" i="3" l="1"/>
  <c r="S53" i="3" s="1"/>
  <c r="R53" i="3"/>
  <c r="W53" i="3" s="1"/>
  <c r="Q52" i="2"/>
  <c r="R52" i="2" s="1"/>
  <c r="F53" i="2"/>
  <c r="I53" i="2" s="1"/>
  <c r="P55" i="1"/>
  <c r="N55" i="2" s="1"/>
  <c r="G52" i="1"/>
  <c r="H52" i="1" s="1"/>
  <c r="B53" i="2" s="1"/>
  <c r="I52" i="1"/>
  <c r="M53" i="3"/>
  <c r="E54" i="2"/>
  <c r="O54" i="2" s="1"/>
  <c r="K53" i="3"/>
  <c r="T53" i="3" s="1"/>
  <c r="N51" i="1"/>
  <c r="Q51" i="1" s="1"/>
  <c r="R51" i="1" s="1"/>
  <c r="Y51" i="1"/>
  <c r="Y54" i="2"/>
  <c r="P53" i="3" l="1"/>
  <c r="Q53" i="3" s="1"/>
  <c r="F54" i="3"/>
  <c r="G54" i="3" s="1"/>
  <c r="H54" i="3" s="1"/>
  <c r="G53" i="2"/>
  <c r="H53" i="2" s="1"/>
  <c r="B54" i="3" s="1"/>
  <c r="C55" i="3" s="1"/>
  <c r="D55" i="3" s="1"/>
  <c r="J53" i="2"/>
  <c r="X55" i="3"/>
  <c r="P56" i="2"/>
  <c r="N56" i="3" s="1"/>
  <c r="J52" i="1"/>
  <c r="L52" i="1" s="1"/>
  <c r="C54" i="2"/>
  <c r="D54" i="2" s="1"/>
  <c r="E56" i="3" l="1"/>
  <c r="O54" i="3"/>
  <c r="I54" i="3"/>
  <c r="J54" i="3" s="1"/>
  <c r="R54" i="3" s="1"/>
  <c r="L53" i="2"/>
  <c r="F54" i="2" s="1"/>
  <c r="S53" i="2"/>
  <c r="X53" i="2" s="1"/>
  <c r="K53" i="2"/>
  <c r="U53" i="2" s="1"/>
  <c r="K52" i="1"/>
  <c r="U52" i="1" s="1"/>
  <c r="M52" i="1"/>
  <c r="S52" i="1"/>
  <c r="X52" i="1" s="1"/>
  <c r="F53" i="1"/>
  <c r="T52" i="1"/>
  <c r="V52" i="1"/>
  <c r="W52" i="1" s="1"/>
  <c r="E54" i="1"/>
  <c r="O54" i="1" s="1"/>
  <c r="M53" i="2"/>
  <c r="W54" i="3" l="1"/>
  <c r="T53" i="2"/>
  <c r="G54" i="2"/>
  <c r="H54" i="2" s="1"/>
  <c r="B55" i="3" s="1"/>
  <c r="I54" i="2"/>
  <c r="M54" i="3"/>
  <c r="E55" i="2"/>
  <c r="O55" i="2" s="1"/>
  <c r="K54" i="3"/>
  <c r="T54" i="3" s="1"/>
  <c r="N52" i="1"/>
  <c r="Q52" i="1" s="1"/>
  <c r="R52" i="1" s="1"/>
  <c r="Y52" i="1"/>
  <c r="P56" i="1"/>
  <c r="N56" i="2" s="1"/>
  <c r="I53" i="1"/>
  <c r="G53" i="1"/>
  <c r="H53" i="1" s="1"/>
  <c r="B54" i="2" s="1"/>
  <c r="Y55" i="2"/>
  <c r="L54" i="3"/>
  <c r="Q53" i="2" l="1"/>
  <c r="R53" i="2" s="1"/>
  <c r="P57" i="2"/>
  <c r="N57" i="3" s="1"/>
  <c r="C55" i="2"/>
  <c r="D55" i="2" s="1"/>
  <c r="X56" i="3"/>
  <c r="J53" i="1"/>
  <c r="J54" i="2"/>
  <c r="C56" i="3"/>
  <c r="D56" i="3" s="1"/>
  <c r="S54" i="3"/>
  <c r="F55" i="3"/>
  <c r="P54" i="3" l="1"/>
  <c r="Q54" i="3" s="1"/>
  <c r="L54" i="2"/>
  <c r="T54" i="2" s="1"/>
  <c r="S54" i="2"/>
  <c r="X54" i="2" s="1"/>
  <c r="K54" i="2"/>
  <c r="U54" i="2" s="1"/>
  <c r="G55" i="3"/>
  <c r="H55" i="3" s="1"/>
  <c r="I55" i="3"/>
  <c r="M54" i="2"/>
  <c r="E55" i="1"/>
  <c r="O55" i="1" s="1"/>
  <c r="M53" i="1"/>
  <c r="S53" i="1"/>
  <c r="X53" i="1" s="1"/>
  <c r="K53" i="1"/>
  <c r="U53" i="1" s="1"/>
  <c r="L53" i="1"/>
  <c r="E57" i="3" l="1"/>
  <c r="O55" i="3"/>
  <c r="Q54" i="2"/>
  <c r="R54" i="2" s="1"/>
  <c r="F55" i="2"/>
  <c r="G55" i="2" s="1"/>
  <c r="H55" i="2" s="1"/>
  <c r="B56" i="3" s="1"/>
  <c r="P57" i="1"/>
  <c r="N57" i="2" s="1"/>
  <c r="Y56" i="2"/>
  <c r="T53" i="1"/>
  <c r="F54" i="1"/>
  <c r="V53" i="1"/>
  <c r="W53" i="1" s="1"/>
  <c r="N53" i="1"/>
  <c r="Y53" i="1"/>
  <c r="J55" i="3"/>
  <c r="L55" i="3" l="1"/>
  <c r="S55" i="3" s="1"/>
  <c r="R55" i="3"/>
  <c r="W55" i="3" s="1"/>
  <c r="I55" i="2"/>
  <c r="G54" i="1"/>
  <c r="H54" i="1" s="1"/>
  <c r="B55" i="2" s="1"/>
  <c r="I54" i="1"/>
  <c r="Q53" i="1"/>
  <c r="R53" i="1" s="1"/>
  <c r="E56" i="2"/>
  <c r="O56" i="2" s="1"/>
  <c r="M55" i="3"/>
  <c r="K55" i="3"/>
  <c r="T55" i="3" s="1"/>
  <c r="C57" i="3"/>
  <c r="D57" i="3" s="1"/>
  <c r="P55" i="3" l="1"/>
  <c r="Q55" i="3" s="1"/>
  <c r="F56" i="3"/>
  <c r="I56" i="3" s="1"/>
  <c r="J55" i="2"/>
  <c r="S55" i="2" s="1"/>
  <c r="X55" i="2" s="1"/>
  <c r="P58" i="2"/>
  <c r="N58" i="3" s="1"/>
  <c r="J54" i="1"/>
  <c r="C56" i="2"/>
  <c r="D56" i="2" s="1"/>
  <c r="X57" i="3"/>
  <c r="G56" i="3" l="1"/>
  <c r="H56" i="3" s="1"/>
  <c r="E56" i="1"/>
  <c r="O56" i="1" s="1"/>
  <c r="P58" i="1" s="1"/>
  <c r="N58" i="2" s="1"/>
  <c r="L55" i="2"/>
  <c r="F56" i="2" s="1"/>
  <c r="I56" i="2" s="1"/>
  <c r="M55" i="2"/>
  <c r="K55" i="2"/>
  <c r="U55" i="2" s="1"/>
  <c r="S54" i="1"/>
  <c r="X54" i="1" s="1"/>
  <c r="M54" i="1"/>
  <c r="K54" i="1"/>
  <c r="U54" i="1" s="1"/>
  <c r="L54" i="1"/>
  <c r="J56" i="3"/>
  <c r="R56" i="3" s="1"/>
  <c r="E58" i="3" l="1"/>
  <c r="O56" i="3"/>
  <c r="W56" i="3" s="1"/>
  <c r="G56" i="2"/>
  <c r="H56" i="2" s="1"/>
  <c r="B57" i="3" s="1"/>
  <c r="C58" i="3" s="1"/>
  <c r="D58" i="3" s="1"/>
  <c r="Y57" i="2"/>
  <c r="T55" i="2"/>
  <c r="Y54" i="1"/>
  <c r="N54" i="1"/>
  <c r="M56" i="3"/>
  <c r="E57" i="2"/>
  <c r="O57" i="2" s="1"/>
  <c r="K56" i="3"/>
  <c r="T56" i="3" s="1"/>
  <c r="L56" i="3"/>
  <c r="V54" i="1"/>
  <c r="W54" i="1" s="1"/>
  <c r="F55" i="1"/>
  <c r="T54" i="1"/>
  <c r="Q55" i="2" l="1"/>
  <c r="R55" i="2" s="1"/>
  <c r="Q54" i="1"/>
  <c r="R54" i="1" s="1"/>
  <c r="P59" i="2"/>
  <c r="N59" i="3" s="1"/>
  <c r="X58" i="3"/>
  <c r="S56" i="3"/>
  <c r="F57" i="3"/>
  <c r="I55" i="1"/>
  <c r="G55" i="1"/>
  <c r="H55" i="1" s="1"/>
  <c r="B56" i="2" s="1"/>
  <c r="P56" i="3" l="1"/>
  <c r="Q56" i="3" s="1"/>
  <c r="I57" i="3"/>
  <c r="G57" i="3"/>
  <c r="H57" i="3" s="1"/>
  <c r="J55" i="1"/>
  <c r="L55" i="1" s="1"/>
  <c r="C57" i="2"/>
  <c r="D57" i="2" s="1"/>
  <c r="J56" i="2"/>
  <c r="E59" i="3" l="1"/>
  <c r="O57" i="3"/>
  <c r="K56" i="2"/>
  <c r="U56" i="2" s="1"/>
  <c r="S56" i="2"/>
  <c r="X56" i="2" s="1"/>
  <c r="V55" i="1"/>
  <c r="W55" i="1" s="1"/>
  <c r="T55" i="1"/>
  <c r="F56" i="1"/>
  <c r="S55" i="1"/>
  <c r="X55" i="1" s="1"/>
  <c r="M55" i="1"/>
  <c r="K55" i="1"/>
  <c r="U55" i="1" s="1"/>
  <c r="J57" i="3"/>
  <c r="E57" i="1"/>
  <c r="O57" i="1" s="1"/>
  <c r="M56" i="2"/>
  <c r="L56" i="2"/>
  <c r="L57" i="3" l="1"/>
  <c r="S57" i="3" s="1"/>
  <c r="R57" i="3"/>
  <c r="W57" i="3" s="1"/>
  <c r="Y55" i="1"/>
  <c r="N55" i="1"/>
  <c r="Q55" i="1" s="1"/>
  <c r="R55" i="1" s="1"/>
  <c r="F57" i="2"/>
  <c r="T56" i="2"/>
  <c r="G56" i="1"/>
  <c r="H56" i="1" s="1"/>
  <c r="B57" i="2" s="1"/>
  <c r="I56" i="1"/>
  <c r="Y58" i="2"/>
  <c r="M57" i="3"/>
  <c r="E58" i="2"/>
  <c r="O58" i="2" s="1"/>
  <c r="K57" i="3"/>
  <c r="T57" i="3" s="1"/>
  <c r="P59" i="1"/>
  <c r="N59" i="2" s="1"/>
  <c r="P57" i="3" l="1"/>
  <c r="Q57" i="3" s="1"/>
  <c r="F58" i="3"/>
  <c r="I58" i="3" s="1"/>
  <c r="Q56" i="2"/>
  <c r="R56" i="2" s="1"/>
  <c r="P60" i="2"/>
  <c r="N60" i="3" s="1"/>
  <c r="X59" i="3"/>
  <c r="I57" i="2"/>
  <c r="G57" i="2"/>
  <c r="H57" i="2" s="1"/>
  <c r="B58" i="3" s="1"/>
  <c r="J56" i="1"/>
  <c r="L56" i="1" s="1"/>
  <c r="C58" i="2"/>
  <c r="D58" i="2" s="1"/>
  <c r="G58" i="3" l="1"/>
  <c r="H58" i="3" s="1"/>
  <c r="V56" i="1"/>
  <c r="W56" i="1" s="1"/>
  <c r="T56" i="1"/>
  <c r="F57" i="1"/>
  <c r="J57" i="2"/>
  <c r="S57" i="2" s="1"/>
  <c r="X57" i="2" s="1"/>
  <c r="K56" i="1"/>
  <c r="U56" i="1" s="1"/>
  <c r="S56" i="1"/>
  <c r="X56" i="1" s="1"/>
  <c r="M56" i="1"/>
  <c r="J58" i="3"/>
  <c r="C59" i="3"/>
  <c r="D59" i="3" s="1"/>
  <c r="E60" i="3" l="1"/>
  <c r="O58" i="3"/>
  <c r="L58" i="3"/>
  <c r="S58" i="3" s="1"/>
  <c r="R58" i="3"/>
  <c r="E59" i="2"/>
  <c r="O59" i="2" s="1"/>
  <c r="M58" i="3"/>
  <c r="K58" i="3"/>
  <c r="T58" i="3" s="1"/>
  <c r="M57" i="2"/>
  <c r="E58" i="1"/>
  <c r="O58" i="1" s="1"/>
  <c r="K57" i="2"/>
  <c r="U57" i="2" s="1"/>
  <c r="L57" i="2"/>
  <c r="Y56" i="1"/>
  <c r="N56" i="1"/>
  <c r="Q56" i="1" s="1"/>
  <c r="R56" i="1" s="1"/>
  <c r="I57" i="1"/>
  <c r="G57" i="1"/>
  <c r="H57" i="1" s="1"/>
  <c r="B58" i="2" s="1"/>
  <c r="W58" i="3" l="1"/>
  <c r="P58" i="3"/>
  <c r="Q58" i="3" s="1"/>
  <c r="F59" i="3"/>
  <c r="I59" i="3" s="1"/>
  <c r="P60" i="1"/>
  <c r="N60" i="2" s="1"/>
  <c r="Y59" i="2"/>
  <c r="C59" i="2"/>
  <c r="D59" i="2" s="1"/>
  <c r="J57" i="1"/>
  <c r="X60" i="3"/>
  <c r="P61" i="2"/>
  <c r="N61" i="3" s="1"/>
  <c r="F58" i="2"/>
  <c r="T57" i="2"/>
  <c r="G59" i="3" l="1"/>
  <c r="H59" i="3" s="1"/>
  <c r="Q57" i="2"/>
  <c r="R57" i="2" s="1"/>
  <c r="G58" i="2"/>
  <c r="H58" i="2" s="1"/>
  <c r="B59" i="3" s="1"/>
  <c r="I58" i="2"/>
  <c r="S57" i="1"/>
  <c r="X57" i="1" s="1"/>
  <c r="M57" i="1"/>
  <c r="K57" i="1"/>
  <c r="U57" i="1" s="1"/>
  <c r="L57" i="1"/>
  <c r="E61" i="3" l="1"/>
  <c r="O59" i="3"/>
  <c r="F58" i="1"/>
  <c r="T57" i="1"/>
  <c r="V57" i="1"/>
  <c r="W57" i="1" s="1"/>
  <c r="N57" i="1"/>
  <c r="Y57" i="1"/>
  <c r="J58" i="2"/>
  <c r="S58" i="2" s="1"/>
  <c r="X58" i="2" s="1"/>
  <c r="J59" i="3"/>
  <c r="C60" i="3"/>
  <c r="D60" i="3" s="1"/>
  <c r="K59" i="3" l="1"/>
  <c r="T59" i="3" s="1"/>
  <c r="R59" i="3"/>
  <c r="W59" i="3" s="1"/>
  <c r="Q57" i="1"/>
  <c r="R57" i="1" s="1"/>
  <c r="M58" i="2"/>
  <c r="E59" i="1"/>
  <c r="O59" i="1" s="1"/>
  <c r="K58" i="2"/>
  <c r="U58" i="2" s="1"/>
  <c r="L58" i="2"/>
  <c r="E60" i="2"/>
  <c r="O60" i="2" s="1"/>
  <c r="M59" i="3"/>
  <c r="L59" i="3"/>
  <c r="G58" i="1"/>
  <c r="H58" i="1" s="1"/>
  <c r="B59" i="2" s="1"/>
  <c r="I58" i="1"/>
  <c r="P62" i="2" l="1"/>
  <c r="N62" i="3" s="1"/>
  <c r="T58" i="2"/>
  <c r="F59" i="2"/>
  <c r="J58" i="1"/>
  <c r="X61" i="3"/>
  <c r="P61" i="1"/>
  <c r="N61" i="2" s="1"/>
  <c r="C60" i="2"/>
  <c r="D60" i="2" s="1"/>
  <c r="F60" i="3"/>
  <c r="S59" i="3"/>
  <c r="Y60" i="2"/>
  <c r="P59" i="3" l="1"/>
  <c r="Q59" i="3" s="1"/>
  <c r="Q58" i="2"/>
  <c r="R58" i="2" s="1"/>
  <c r="G60" i="3"/>
  <c r="H60" i="3" s="1"/>
  <c r="I60" i="3"/>
  <c r="K58" i="1"/>
  <c r="U58" i="1" s="1"/>
  <c r="M58" i="1"/>
  <c r="S58" i="1"/>
  <c r="X58" i="1" s="1"/>
  <c r="L58" i="1"/>
  <c r="I59" i="2"/>
  <c r="G59" i="2"/>
  <c r="H59" i="2" s="1"/>
  <c r="B60" i="3" s="1"/>
  <c r="E62" i="3" l="1"/>
  <c r="O60" i="3"/>
  <c r="J60" i="3"/>
  <c r="C61" i="3"/>
  <c r="D61" i="3" s="1"/>
  <c r="J59" i="2"/>
  <c r="V58" i="1"/>
  <c r="W58" i="1" s="1"/>
  <c r="F59" i="1"/>
  <c r="T58" i="1"/>
  <c r="N58" i="1"/>
  <c r="Y58" i="1"/>
  <c r="K60" i="3" l="1"/>
  <c r="T60" i="3" s="1"/>
  <c r="R60" i="3"/>
  <c r="W60" i="3" s="1"/>
  <c r="Q58" i="1"/>
  <c r="R58" i="1" s="1"/>
  <c r="L59" i="2"/>
  <c r="F60" i="2" s="1"/>
  <c r="S59" i="2"/>
  <c r="X59" i="2" s="1"/>
  <c r="L60" i="3"/>
  <c r="S60" i="3" s="1"/>
  <c r="M59" i="2"/>
  <c r="E60" i="1"/>
  <c r="O60" i="1" s="1"/>
  <c r="K59" i="2"/>
  <c r="U59" i="2" s="1"/>
  <c r="G59" i="1"/>
  <c r="H59" i="1" s="1"/>
  <c r="B60" i="2" s="1"/>
  <c r="I59" i="1"/>
  <c r="M60" i="3"/>
  <c r="E61" i="2"/>
  <c r="O61" i="2" s="1"/>
  <c r="P60" i="3" l="1"/>
  <c r="Q60" i="3" s="1"/>
  <c r="F61" i="3"/>
  <c r="I61" i="3" s="1"/>
  <c r="T59" i="2"/>
  <c r="G60" i="2"/>
  <c r="H60" i="2" s="1"/>
  <c r="B61" i="3" s="1"/>
  <c r="I60" i="2"/>
  <c r="C61" i="2"/>
  <c r="D61" i="2" s="1"/>
  <c r="P63" i="2"/>
  <c r="N63" i="3" s="1"/>
  <c r="X62" i="3"/>
  <c r="J59" i="1"/>
  <c r="L59" i="1" s="1"/>
  <c r="P62" i="1"/>
  <c r="N62" i="2" s="1"/>
  <c r="Y61" i="2"/>
  <c r="Q59" i="2" l="1"/>
  <c r="R59" i="2" s="1"/>
  <c r="G61" i="3"/>
  <c r="H61" i="3" s="1"/>
  <c r="S59" i="1"/>
  <c r="X59" i="1" s="1"/>
  <c r="K59" i="1"/>
  <c r="U59" i="1" s="1"/>
  <c r="M59" i="1"/>
  <c r="J60" i="2"/>
  <c r="S60" i="2" s="1"/>
  <c r="X60" i="2" s="1"/>
  <c r="F60" i="1"/>
  <c r="T59" i="1"/>
  <c r="V59" i="1"/>
  <c r="W59" i="1" s="1"/>
  <c r="J61" i="3"/>
  <c r="C62" i="3"/>
  <c r="D62" i="3" s="1"/>
  <c r="E63" i="3" l="1"/>
  <c r="O61" i="3"/>
  <c r="L61" i="3"/>
  <c r="F62" i="3" s="1"/>
  <c r="R61" i="3"/>
  <c r="K61" i="3"/>
  <c r="T61" i="3" s="1"/>
  <c r="I60" i="1"/>
  <c r="G60" i="1"/>
  <c r="H60" i="1" s="1"/>
  <c r="B61" i="2" s="1"/>
  <c r="M60" i="2"/>
  <c r="E61" i="1"/>
  <c r="O61" i="1" s="1"/>
  <c r="K60" i="2"/>
  <c r="U60" i="2" s="1"/>
  <c r="L60" i="2"/>
  <c r="N59" i="1"/>
  <c r="Q59" i="1" s="1"/>
  <c r="R59" i="1" s="1"/>
  <c r="Y59" i="1"/>
  <c r="M61" i="3"/>
  <c r="E62" i="2"/>
  <c r="O62" i="2" s="1"/>
  <c r="W61" i="3" l="1"/>
  <c r="S61" i="3"/>
  <c r="Y62" i="2"/>
  <c r="P64" i="2"/>
  <c r="N64" i="3" s="1"/>
  <c r="X63" i="3"/>
  <c r="J60" i="1"/>
  <c r="L60" i="1" s="1"/>
  <c r="P63" i="1"/>
  <c r="N63" i="2" s="1"/>
  <c r="T60" i="2"/>
  <c r="F61" i="2"/>
  <c r="G62" i="3"/>
  <c r="H62" i="3" s="1"/>
  <c r="I62" i="3"/>
  <c r="C62" i="2"/>
  <c r="D62" i="2" s="1"/>
  <c r="E64" i="3" l="1"/>
  <c r="O62" i="3"/>
  <c r="P61" i="3"/>
  <c r="Q61" i="3" s="1"/>
  <c r="Q60" i="2"/>
  <c r="R60" i="2" s="1"/>
  <c r="T60" i="1"/>
  <c r="V60" i="1"/>
  <c r="W60" i="1" s="1"/>
  <c r="F61" i="1"/>
  <c r="I61" i="2"/>
  <c r="G61" i="2"/>
  <c r="H61" i="2" s="1"/>
  <c r="B62" i="3" s="1"/>
  <c r="K60" i="1"/>
  <c r="U60" i="1" s="1"/>
  <c r="S60" i="1"/>
  <c r="X60" i="1" s="1"/>
  <c r="M60" i="1"/>
  <c r="I61" i="1" l="1"/>
  <c r="G61" i="1"/>
  <c r="H61" i="1" s="1"/>
  <c r="B62" i="2" s="1"/>
  <c r="N60" i="1"/>
  <c r="Q60" i="1" s="1"/>
  <c r="R60" i="1" s="1"/>
  <c r="Y60" i="1"/>
  <c r="J62" i="3"/>
  <c r="R62" i="3" s="1"/>
  <c r="W62" i="3" s="1"/>
  <c r="C63" i="3"/>
  <c r="D63" i="3" s="1"/>
  <c r="J61" i="2"/>
  <c r="S61" i="2" s="1"/>
  <c r="X61" i="2" s="1"/>
  <c r="L61" i="2" l="1"/>
  <c r="T61" i="2" s="1"/>
  <c r="Q61" i="2" s="1"/>
  <c r="E63" i="2"/>
  <c r="O63" i="2" s="1"/>
  <c r="M62" i="3"/>
  <c r="L62" i="3"/>
  <c r="K62" i="3"/>
  <c r="T62" i="3" s="1"/>
  <c r="C63" i="2"/>
  <c r="D63" i="2" s="1"/>
  <c r="M61" i="2"/>
  <c r="E62" i="1"/>
  <c r="O62" i="1" s="1"/>
  <c r="K61" i="2"/>
  <c r="U61" i="2" s="1"/>
  <c r="J61" i="1"/>
  <c r="F62" i="2" l="1"/>
  <c r="G62" i="2" s="1"/>
  <c r="H62" i="2" s="1"/>
  <c r="B63" i="3" s="1"/>
  <c r="R61" i="2"/>
  <c r="Y63" i="2"/>
  <c r="M61" i="1"/>
  <c r="S61" i="1"/>
  <c r="X61" i="1" s="1"/>
  <c r="K61" i="1"/>
  <c r="U61" i="1" s="1"/>
  <c r="S62" i="3"/>
  <c r="F63" i="3"/>
  <c r="X64" i="3"/>
  <c r="P64" i="1"/>
  <c r="N64" i="2" s="1"/>
  <c r="L61" i="1"/>
  <c r="P65" i="2"/>
  <c r="N65" i="3" s="1"/>
  <c r="P62" i="3" l="1"/>
  <c r="Q62" i="3" s="1"/>
  <c r="I62" i="2"/>
  <c r="J62" i="2" s="1"/>
  <c r="N61" i="1"/>
  <c r="Y61" i="1"/>
  <c r="C64" i="3"/>
  <c r="D64" i="3" s="1"/>
  <c r="T61" i="1"/>
  <c r="F62" i="1"/>
  <c r="V61" i="1"/>
  <c r="W61" i="1" s="1"/>
  <c r="I63" i="3"/>
  <c r="G63" i="3"/>
  <c r="H63" i="3" s="1"/>
  <c r="E65" i="3" l="1"/>
  <c r="O63" i="3"/>
  <c r="L62" i="2"/>
  <c r="F63" i="2" s="1"/>
  <c r="S62" i="2"/>
  <c r="X62" i="2" s="1"/>
  <c r="J63" i="3"/>
  <c r="Q61" i="1"/>
  <c r="R61" i="1" s="1"/>
  <c r="G62" i="1"/>
  <c r="H62" i="1" s="1"/>
  <c r="B63" i="2" s="1"/>
  <c r="I62" i="1"/>
  <c r="E63" i="1"/>
  <c r="O63" i="1" s="1"/>
  <c r="M62" i="2"/>
  <c r="K62" i="2"/>
  <c r="U62" i="2" s="1"/>
  <c r="L63" i="3" l="1"/>
  <c r="S63" i="3" s="1"/>
  <c r="R63" i="3"/>
  <c r="W63" i="3" s="1"/>
  <c r="T62" i="2"/>
  <c r="Y64" i="2"/>
  <c r="P65" i="1"/>
  <c r="N65" i="2" s="1"/>
  <c r="G63" i="2"/>
  <c r="H63" i="2" s="1"/>
  <c r="B64" i="3" s="1"/>
  <c r="I63" i="2"/>
  <c r="C64" i="2"/>
  <c r="D64" i="2" s="1"/>
  <c r="E64" i="2"/>
  <c r="O64" i="2" s="1"/>
  <c r="M63" i="3"/>
  <c r="K63" i="3"/>
  <c r="T63" i="3" s="1"/>
  <c r="J62" i="1"/>
  <c r="L62" i="1" s="1"/>
  <c r="P63" i="3" l="1"/>
  <c r="Q63" i="3" s="1"/>
  <c r="F64" i="3"/>
  <c r="I64" i="3" s="1"/>
  <c r="Q62" i="2"/>
  <c r="R62" i="2" s="1"/>
  <c r="S62" i="1"/>
  <c r="X62" i="1" s="1"/>
  <c r="M62" i="1"/>
  <c r="K62" i="1"/>
  <c r="U62" i="1" s="1"/>
  <c r="J63" i="2"/>
  <c r="P66" i="2"/>
  <c r="N66" i="3" s="1"/>
  <c r="V62" i="1"/>
  <c r="W62" i="1" s="1"/>
  <c r="T62" i="1"/>
  <c r="F63" i="1"/>
  <c r="X65" i="3"/>
  <c r="C65" i="3"/>
  <c r="D65" i="3" s="1"/>
  <c r="G64" i="3" l="1"/>
  <c r="H64" i="3" s="1"/>
  <c r="L63" i="2"/>
  <c r="T63" i="2" s="1"/>
  <c r="S63" i="2"/>
  <c r="X63" i="2" s="1"/>
  <c r="M63" i="2"/>
  <c r="E64" i="1"/>
  <c r="O64" i="1" s="1"/>
  <c r="K63" i="2"/>
  <c r="U63" i="2" s="1"/>
  <c r="Y62" i="1"/>
  <c r="N62" i="1"/>
  <c r="Q62" i="1" s="1"/>
  <c r="R62" i="1" s="1"/>
  <c r="J64" i="3"/>
  <c r="R64" i="3" s="1"/>
  <c r="I63" i="1"/>
  <c r="G63" i="1"/>
  <c r="H63" i="1" s="1"/>
  <c r="B64" i="2" s="1"/>
  <c r="E66" i="3" l="1"/>
  <c r="O64" i="3"/>
  <c r="W64" i="3" s="1"/>
  <c r="Q63" i="2"/>
  <c r="R63" i="2" s="1"/>
  <c r="F64" i="2"/>
  <c r="I64" i="2" s="1"/>
  <c r="Y65" i="2"/>
  <c r="J63" i="1"/>
  <c r="L63" i="1" s="1"/>
  <c r="C65" i="2"/>
  <c r="D65" i="2" s="1"/>
  <c r="P66" i="1"/>
  <c r="N66" i="2" s="1"/>
  <c r="M64" i="3"/>
  <c r="E65" i="2"/>
  <c r="O65" i="2" s="1"/>
  <c r="K64" i="3"/>
  <c r="T64" i="3" s="1"/>
  <c r="L64" i="3"/>
  <c r="G64" i="2" l="1"/>
  <c r="H64" i="2" s="1"/>
  <c r="B65" i="3" s="1"/>
  <c r="C66" i="3" s="1"/>
  <c r="D66" i="3" s="1"/>
  <c r="P67" i="2"/>
  <c r="N67" i="3" s="1"/>
  <c r="T63" i="1"/>
  <c r="F64" i="1"/>
  <c r="V63" i="1"/>
  <c r="W63" i="1" s="1"/>
  <c r="M63" i="1"/>
  <c r="K63" i="1"/>
  <c r="U63" i="1" s="1"/>
  <c r="S63" i="1"/>
  <c r="X63" i="1" s="1"/>
  <c r="J64" i="2"/>
  <c r="X66" i="3"/>
  <c r="S64" i="3"/>
  <c r="F65" i="3"/>
  <c r="P64" i="3" l="1"/>
  <c r="Q64" i="3" s="1"/>
  <c r="L64" i="2"/>
  <c r="F65" i="2" s="1"/>
  <c r="S64" i="2"/>
  <c r="X64" i="2" s="1"/>
  <c r="I65" i="3"/>
  <c r="G65" i="3"/>
  <c r="H65" i="3" s="1"/>
  <c r="G64" i="1"/>
  <c r="H64" i="1" s="1"/>
  <c r="B65" i="2" s="1"/>
  <c r="I64" i="1"/>
  <c r="E65" i="1"/>
  <c r="O65" i="1" s="1"/>
  <c r="M64" i="2"/>
  <c r="K64" i="2"/>
  <c r="U64" i="2" s="1"/>
  <c r="Y63" i="1"/>
  <c r="N63" i="1"/>
  <c r="Q63" i="1" s="1"/>
  <c r="R63" i="1" s="1"/>
  <c r="E67" i="3" l="1"/>
  <c r="O65" i="3"/>
  <c r="T64" i="2"/>
  <c r="J64" i="1"/>
  <c r="L64" i="1" s="1"/>
  <c r="G65" i="2"/>
  <c r="H65" i="2" s="1"/>
  <c r="B66" i="3" s="1"/>
  <c r="I65" i="2"/>
  <c r="C66" i="2"/>
  <c r="D66" i="2" s="1"/>
  <c r="Y66" i="2"/>
  <c r="P67" i="1"/>
  <c r="N67" i="2" s="1"/>
  <c r="J65" i="3"/>
  <c r="R65" i="3" s="1"/>
  <c r="W65" i="3" s="1"/>
  <c r="Q64" i="2" l="1"/>
  <c r="R64" i="2" s="1"/>
  <c r="T64" i="1"/>
  <c r="V64" i="1"/>
  <c r="W64" i="1" s="1"/>
  <c r="F65" i="1"/>
  <c r="C67" i="3"/>
  <c r="D67" i="3" s="1"/>
  <c r="E66" i="2"/>
  <c r="O66" i="2" s="1"/>
  <c r="M65" i="3"/>
  <c r="K65" i="3"/>
  <c r="T65" i="3" s="1"/>
  <c r="M64" i="1"/>
  <c r="K64" i="1"/>
  <c r="U64" i="1" s="1"/>
  <c r="S64" i="1"/>
  <c r="X64" i="1" s="1"/>
  <c r="L65" i="3"/>
  <c r="J65" i="2"/>
  <c r="S65" i="2" s="1"/>
  <c r="X65" i="2" s="1"/>
  <c r="I65" i="1" l="1"/>
  <c r="G65" i="1"/>
  <c r="H65" i="1" s="1"/>
  <c r="B66" i="2" s="1"/>
  <c r="M65" i="2"/>
  <c r="E66" i="1"/>
  <c r="O66" i="1" s="1"/>
  <c r="K65" i="2"/>
  <c r="U65" i="2" s="1"/>
  <c r="F66" i="3"/>
  <c r="S65" i="3"/>
  <c r="Y64" i="1"/>
  <c r="N64" i="1"/>
  <c r="Q64" i="1" s="1"/>
  <c r="R64" i="1" s="1"/>
  <c r="X67" i="3"/>
  <c r="L65" i="2"/>
  <c r="P68" i="2"/>
  <c r="N68" i="3" s="1"/>
  <c r="P65" i="3" l="1"/>
  <c r="Q65" i="3" s="1"/>
  <c r="I66" i="3"/>
  <c r="G66" i="3"/>
  <c r="H66" i="3" s="1"/>
  <c r="F66" i="2"/>
  <c r="T65" i="2"/>
  <c r="P68" i="1"/>
  <c r="N68" i="2" s="1"/>
  <c r="C67" i="2"/>
  <c r="D67" i="2" s="1"/>
  <c r="Y67" i="2"/>
  <c r="J65" i="1"/>
  <c r="L65" i="1" s="1"/>
  <c r="E68" i="3" l="1"/>
  <c r="O66" i="3"/>
  <c r="Q65" i="2"/>
  <c r="R65" i="2" s="1"/>
  <c r="I66" i="2"/>
  <c r="G66" i="2"/>
  <c r="H66" i="2" s="1"/>
  <c r="B67" i="3" s="1"/>
  <c r="V65" i="1"/>
  <c r="W65" i="1" s="1"/>
  <c r="F66" i="1"/>
  <c r="T65" i="1"/>
  <c r="J66" i="3"/>
  <c r="M65" i="1"/>
  <c r="S65" i="1"/>
  <c r="X65" i="1" s="1"/>
  <c r="K65" i="1"/>
  <c r="U65" i="1" s="1"/>
  <c r="L66" i="3" l="1"/>
  <c r="S66" i="3" s="1"/>
  <c r="R66" i="3"/>
  <c r="W66" i="3" s="1"/>
  <c r="I66" i="1"/>
  <c r="G66" i="1"/>
  <c r="H66" i="1" s="1"/>
  <c r="B67" i="2" s="1"/>
  <c r="N65" i="1"/>
  <c r="Q65" i="1" s="1"/>
  <c r="R65" i="1" s="1"/>
  <c r="Y65" i="1"/>
  <c r="C68" i="3"/>
  <c r="D68" i="3" s="1"/>
  <c r="E67" i="2"/>
  <c r="O67" i="2" s="1"/>
  <c r="M66" i="3"/>
  <c r="K66" i="3"/>
  <c r="T66" i="3" s="1"/>
  <c r="J66" i="2"/>
  <c r="P66" i="3" l="1"/>
  <c r="Q66" i="3" s="1"/>
  <c r="F67" i="3"/>
  <c r="G67" i="3" s="1"/>
  <c r="H67" i="3" s="1"/>
  <c r="L66" i="2"/>
  <c r="F67" i="2" s="1"/>
  <c r="S66" i="2"/>
  <c r="X66" i="2" s="1"/>
  <c r="P69" i="2"/>
  <c r="N69" i="3" s="1"/>
  <c r="X68" i="3"/>
  <c r="C68" i="2"/>
  <c r="D68" i="2" s="1"/>
  <c r="E67" i="1"/>
  <c r="O67" i="1" s="1"/>
  <c r="M66" i="2"/>
  <c r="K66" i="2"/>
  <c r="U66" i="2" s="1"/>
  <c r="J66" i="1"/>
  <c r="E69" i="3" l="1"/>
  <c r="O67" i="3"/>
  <c r="I67" i="3"/>
  <c r="J67" i="3" s="1"/>
  <c r="T66" i="2"/>
  <c r="P69" i="1"/>
  <c r="N69" i="2" s="1"/>
  <c r="S66" i="1"/>
  <c r="X66" i="1" s="1"/>
  <c r="K66" i="1"/>
  <c r="U66" i="1" s="1"/>
  <c r="M66" i="1"/>
  <c r="L66" i="1"/>
  <c r="Y68" i="2"/>
  <c r="G67" i="2"/>
  <c r="H67" i="2" s="1"/>
  <c r="B68" i="3" s="1"/>
  <c r="I67" i="2"/>
  <c r="L67" i="3" l="1"/>
  <c r="F68" i="3" s="1"/>
  <c r="R67" i="3"/>
  <c r="W67" i="3" s="1"/>
  <c r="Q66" i="2"/>
  <c r="R66" i="2" s="1"/>
  <c r="V66" i="1"/>
  <c r="W66" i="1" s="1"/>
  <c r="T66" i="1"/>
  <c r="F67" i="1"/>
  <c r="C69" i="3"/>
  <c r="D69" i="3" s="1"/>
  <c r="Y66" i="1"/>
  <c r="N66" i="1"/>
  <c r="J67" i="2"/>
  <c r="M67" i="3"/>
  <c r="E68" i="2"/>
  <c r="O68" i="2" s="1"/>
  <c r="K67" i="3"/>
  <c r="T67" i="3" s="1"/>
  <c r="S67" i="3" l="1"/>
  <c r="P67" i="3" s="1"/>
  <c r="Q67" i="3" s="1"/>
  <c r="L67" i="2"/>
  <c r="F68" i="2" s="1"/>
  <c r="S67" i="2"/>
  <c r="X67" i="2" s="1"/>
  <c r="P70" i="2"/>
  <c r="N70" i="3" s="1"/>
  <c r="X69" i="3"/>
  <c r="I67" i="1"/>
  <c r="G67" i="1"/>
  <c r="H67" i="1" s="1"/>
  <c r="B68" i="2" s="1"/>
  <c r="Q66" i="1"/>
  <c r="R66" i="1" s="1"/>
  <c r="E68" i="1"/>
  <c r="O68" i="1" s="1"/>
  <c r="M67" i="2"/>
  <c r="K67" i="2"/>
  <c r="U67" i="2" s="1"/>
  <c r="I68" i="3"/>
  <c r="G68" i="3"/>
  <c r="H68" i="3" s="1"/>
  <c r="E70" i="3" l="1"/>
  <c r="O68" i="3"/>
  <c r="T67" i="2"/>
  <c r="J67" i="1"/>
  <c r="Y69" i="2"/>
  <c r="P70" i="1"/>
  <c r="N70" i="2" s="1"/>
  <c r="J68" i="3"/>
  <c r="C69" i="2"/>
  <c r="D69" i="2" s="1"/>
  <c r="G68" i="2"/>
  <c r="H68" i="2" s="1"/>
  <c r="B69" i="3" s="1"/>
  <c r="I68" i="2"/>
  <c r="L68" i="3" l="1"/>
  <c r="S68" i="3" s="1"/>
  <c r="R68" i="3"/>
  <c r="W68" i="3" s="1"/>
  <c r="Q67" i="2"/>
  <c r="R67" i="2" s="1"/>
  <c r="M68" i="3"/>
  <c r="E69" i="2"/>
  <c r="O69" i="2" s="1"/>
  <c r="K68" i="3"/>
  <c r="T68" i="3" s="1"/>
  <c r="C70" i="3"/>
  <c r="D70" i="3" s="1"/>
  <c r="S67" i="1"/>
  <c r="X67" i="1" s="1"/>
  <c r="M67" i="1"/>
  <c r="K67" i="1"/>
  <c r="U67" i="1" s="1"/>
  <c r="J68" i="2"/>
  <c r="S68" i="2" s="1"/>
  <c r="X68" i="2" s="1"/>
  <c r="L67" i="1"/>
  <c r="F69" i="3" l="1"/>
  <c r="I69" i="3" s="1"/>
  <c r="P68" i="3"/>
  <c r="Q68" i="3" s="1"/>
  <c r="N67" i="1"/>
  <c r="Y67" i="1"/>
  <c r="V67" i="1"/>
  <c r="W67" i="1" s="1"/>
  <c r="F68" i="1"/>
  <c r="T67" i="1"/>
  <c r="P71" i="2"/>
  <c r="N71" i="3" s="1"/>
  <c r="E69" i="1"/>
  <c r="O69" i="1" s="1"/>
  <c r="M68" i="2"/>
  <c r="K68" i="2"/>
  <c r="U68" i="2" s="1"/>
  <c r="X70" i="3"/>
  <c r="L68" i="2"/>
  <c r="G69" i="3" l="1"/>
  <c r="H69" i="3" s="1"/>
  <c r="Y70" i="2"/>
  <c r="I68" i="1"/>
  <c r="G68" i="1"/>
  <c r="H68" i="1" s="1"/>
  <c r="B69" i="2" s="1"/>
  <c r="P71" i="1"/>
  <c r="N71" i="2" s="1"/>
  <c r="Q67" i="1"/>
  <c r="R67" i="1" s="1"/>
  <c r="F69" i="2"/>
  <c r="T68" i="2"/>
  <c r="J69" i="3"/>
  <c r="R69" i="3" s="1"/>
  <c r="E71" i="3" l="1"/>
  <c r="O69" i="3"/>
  <c r="W69" i="3" s="1"/>
  <c r="Q68" i="2"/>
  <c r="R68" i="2" s="1"/>
  <c r="C70" i="2"/>
  <c r="D70" i="2" s="1"/>
  <c r="E70" i="2"/>
  <c r="O70" i="2" s="1"/>
  <c r="M69" i="3"/>
  <c r="K69" i="3"/>
  <c r="T69" i="3" s="1"/>
  <c r="L69" i="3"/>
  <c r="J68" i="1"/>
  <c r="L68" i="1" s="1"/>
  <c r="I69" i="2"/>
  <c r="G69" i="2"/>
  <c r="H69" i="2" s="1"/>
  <c r="B70" i="3" s="1"/>
  <c r="J69" i="2" l="1"/>
  <c r="S69" i="2" s="1"/>
  <c r="X69" i="2" s="1"/>
  <c r="C71" i="3"/>
  <c r="D71" i="3" s="1"/>
  <c r="S68" i="1"/>
  <c r="X68" i="1" s="1"/>
  <c r="M68" i="1"/>
  <c r="K68" i="1"/>
  <c r="U68" i="1" s="1"/>
  <c r="X71" i="3"/>
  <c r="T68" i="1"/>
  <c r="F69" i="1"/>
  <c r="V68" i="1"/>
  <c r="W68" i="1" s="1"/>
  <c r="P72" i="2"/>
  <c r="N72" i="3" s="1"/>
  <c r="S69" i="3"/>
  <c r="F70" i="3"/>
  <c r="P69" i="3" l="1"/>
  <c r="Q69" i="3" s="1"/>
  <c r="G69" i="1"/>
  <c r="H69" i="1" s="1"/>
  <c r="B70" i="2" s="1"/>
  <c r="I69" i="1"/>
  <c r="E70" i="1"/>
  <c r="O70" i="1" s="1"/>
  <c r="M69" i="2"/>
  <c r="K69" i="2"/>
  <c r="U69" i="2" s="1"/>
  <c r="Y68" i="1"/>
  <c r="N68" i="1"/>
  <c r="Q68" i="1" s="1"/>
  <c r="R68" i="1" s="1"/>
  <c r="L69" i="2"/>
  <c r="I70" i="3"/>
  <c r="G70" i="3"/>
  <c r="H70" i="3" s="1"/>
  <c r="E72" i="3" l="1"/>
  <c r="O70" i="3"/>
  <c r="P72" i="1"/>
  <c r="N72" i="2" s="1"/>
  <c r="J70" i="3"/>
  <c r="R70" i="3" s="1"/>
  <c r="T69" i="2"/>
  <c r="F70" i="2"/>
  <c r="J69" i="1"/>
  <c r="L69" i="1" s="1"/>
  <c r="Y71" i="2"/>
  <c r="C71" i="2"/>
  <c r="D71" i="2" s="1"/>
  <c r="W70" i="3" l="1"/>
  <c r="Q69" i="2"/>
  <c r="R69" i="2" s="1"/>
  <c r="F70" i="1"/>
  <c r="V69" i="1"/>
  <c r="W69" i="1" s="1"/>
  <c r="T69" i="1"/>
  <c r="G70" i="2"/>
  <c r="H70" i="2" s="1"/>
  <c r="B71" i="3" s="1"/>
  <c r="I70" i="2"/>
  <c r="M70" i="3"/>
  <c r="E71" i="2"/>
  <c r="O71" i="2" s="1"/>
  <c r="K70" i="3"/>
  <c r="T70" i="3" s="1"/>
  <c r="L70" i="3"/>
  <c r="S69" i="1"/>
  <c r="X69" i="1" s="1"/>
  <c r="M69" i="1"/>
  <c r="K69" i="1"/>
  <c r="U69" i="1" s="1"/>
  <c r="N69" i="1" l="1"/>
  <c r="Q69" i="1" s="1"/>
  <c r="R69" i="1" s="1"/>
  <c r="Y69" i="1"/>
  <c r="P73" i="2"/>
  <c r="N73" i="3" s="1"/>
  <c r="C72" i="3"/>
  <c r="D72" i="3" s="1"/>
  <c r="F71" i="3"/>
  <c r="S70" i="3"/>
  <c r="X72" i="3"/>
  <c r="J70" i="2"/>
  <c r="S70" i="2" s="1"/>
  <c r="X70" i="2" s="1"/>
  <c r="G70" i="1"/>
  <c r="H70" i="1" s="1"/>
  <c r="B71" i="2" s="1"/>
  <c r="I70" i="1"/>
  <c r="P70" i="3" l="1"/>
  <c r="Q70" i="3" s="1"/>
  <c r="G71" i="3"/>
  <c r="H71" i="3" s="1"/>
  <c r="I71" i="3"/>
  <c r="J70" i="1"/>
  <c r="C72" i="2"/>
  <c r="D72" i="2" s="1"/>
  <c r="E71" i="1"/>
  <c r="O71" i="1" s="1"/>
  <c r="M70" i="2"/>
  <c r="K70" i="2"/>
  <c r="U70" i="2" s="1"/>
  <c r="L70" i="2"/>
  <c r="E73" i="3" l="1"/>
  <c r="O71" i="3"/>
  <c r="S70" i="1"/>
  <c r="X70" i="1" s="1"/>
  <c r="K70" i="1"/>
  <c r="U70" i="1" s="1"/>
  <c r="M70" i="1"/>
  <c r="L70" i="1"/>
  <c r="J71" i="3"/>
  <c r="R71" i="3" s="1"/>
  <c r="P73" i="1"/>
  <c r="N73" i="2" s="1"/>
  <c r="F71" i="2"/>
  <c r="T70" i="2"/>
  <c r="Y72" i="2"/>
  <c r="W71" i="3" l="1"/>
  <c r="Q70" i="2"/>
  <c r="R70" i="2" s="1"/>
  <c r="M71" i="3"/>
  <c r="E72" i="2"/>
  <c r="O72" i="2" s="1"/>
  <c r="K71" i="3"/>
  <c r="T71" i="3" s="1"/>
  <c r="L71" i="3"/>
  <c r="T70" i="1"/>
  <c r="F71" i="1"/>
  <c r="V70" i="1"/>
  <c r="W70" i="1" s="1"/>
  <c r="I71" i="2"/>
  <c r="G71" i="2"/>
  <c r="H71" i="2" s="1"/>
  <c r="B72" i="3" s="1"/>
  <c r="N70" i="1"/>
  <c r="Y70" i="1"/>
  <c r="C73" i="3" l="1"/>
  <c r="D73" i="3" s="1"/>
  <c r="J71" i="2"/>
  <c r="G71" i="1"/>
  <c r="H71" i="1" s="1"/>
  <c r="B72" i="2" s="1"/>
  <c r="I71" i="1"/>
  <c r="S71" i="3"/>
  <c r="F72" i="3"/>
  <c r="Q70" i="1"/>
  <c r="R70" i="1" s="1"/>
  <c r="P74" i="2"/>
  <c r="N74" i="3" s="1"/>
  <c r="X73" i="3"/>
  <c r="P71" i="3" l="1"/>
  <c r="Q71" i="3" s="1"/>
  <c r="L71" i="2"/>
  <c r="T71" i="2" s="1"/>
  <c r="S71" i="2"/>
  <c r="X71" i="2" s="1"/>
  <c r="J71" i="1"/>
  <c r="I72" i="3"/>
  <c r="G72" i="3"/>
  <c r="H72" i="3" s="1"/>
  <c r="M71" i="2"/>
  <c r="E72" i="1"/>
  <c r="O72" i="1" s="1"/>
  <c r="K71" i="2"/>
  <c r="U71" i="2" s="1"/>
  <c r="C73" i="2"/>
  <c r="D73" i="2" s="1"/>
  <c r="E74" i="3" l="1"/>
  <c r="O72" i="3"/>
  <c r="Q71" i="2"/>
  <c r="R71" i="2" s="1"/>
  <c r="F72" i="2"/>
  <c r="G72" i="2" s="1"/>
  <c r="H72" i="2" s="1"/>
  <c r="B73" i="3" s="1"/>
  <c r="M71" i="1"/>
  <c r="K71" i="1"/>
  <c r="U71" i="1" s="1"/>
  <c r="S71" i="1"/>
  <c r="X71" i="1" s="1"/>
  <c r="L71" i="1"/>
  <c r="P74" i="1"/>
  <c r="N74" i="2" s="1"/>
  <c r="Y73" i="2"/>
  <c r="J72" i="3"/>
  <c r="L72" i="3" l="1"/>
  <c r="F73" i="3" s="1"/>
  <c r="R72" i="3"/>
  <c r="W72" i="3" s="1"/>
  <c r="I72" i="2"/>
  <c r="J72" i="2" s="1"/>
  <c r="M72" i="3"/>
  <c r="E73" i="2"/>
  <c r="O73" i="2" s="1"/>
  <c r="K72" i="3"/>
  <c r="T72" i="3" s="1"/>
  <c r="T71" i="1"/>
  <c r="F72" i="1"/>
  <c r="V71" i="1"/>
  <c r="W71" i="1" s="1"/>
  <c r="C74" i="3"/>
  <c r="D74" i="3" s="1"/>
  <c r="N71" i="1"/>
  <c r="Y71" i="1"/>
  <c r="S72" i="3" l="1"/>
  <c r="P72" i="3" s="1"/>
  <c r="Q72" i="3" s="1"/>
  <c r="L72" i="2"/>
  <c r="T72" i="2" s="1"/>
  <c r="S72" i="2"/>
  <c r="X72" i="2" s="1"/>
  <c r="P75" i="2"/>
  <c r="N75" i="3" s="1"/>
  <c r="X74" i="3"/>
  <c r="Q71" i="1"/>
  <c r="R71" i="1" s="1"/>
  <c r="M72" i="2"/>
  <c r="E73" i="1"/>
  <c r="O73" i="1" s="1"/>
  <c r="K72" i="2"/>
  <c r="U72" i="2" s="1"/>
  <c r="I72" i="1"/>
  <c r="G72" i="1"/>
  <c r="H72" i="1" s="1"/>
  <c r="B73" i="2" s="1"/>
  <c r="I73" i="3"/>
  <c r="G73" i="3"/>
  <c r="H73" i="3" s="1"/>
  <c r="E75" i="3" l="1"/>
  <c r="O73" i="3"/>
  <c r="Q72" i="2"/>
  <c r="R72" i="2" s="1"/>
  <c r="F73" i="2"/>
  <c r="I73" i="2" s="1"/>
  <c r="C74" i="2"/>
  <c r="D74" i="2" s="1"/>
  <c r="J72" i="1"/>
  <c r="J73" i="3"/>
  <c r="P75" i="1"/>
  <c r="N75" i="2" s="1"/>
  <c r="Y74" i="2"/>
  <c r="L73" i="3" l="1"/>
  <c r="S73" i="3" s="1"/>
  <c r="R73" i="3"/>
  <c r="W73" i="3" s="1"/>
  <c r="G73" i="2"/>
  <c r="H73" i="2" s="1"/>
  <c r="B74" i="3" s="1"/>
  <c r="C75" i="3" s="1"/>
  <c r="D75" i="3" s="1"/>
  <c r="J73" i="2"/>
  <c r="S72" i="1"/>
  <c r="X72" i="1" s="1"/>
  <c r="M72" i="1"/>
  <c r="K72" i="1"/>
  <c r="U72" i="1" s="1"/>
  <c r="L72" i="1"/>
  <c r="E74" i="2"/>
  <c r="O74" i="2" s="1"/>
  <c r="M73" i="3"/>
  <c r="K73" i="3"/>
  <c r="T73" i="3" s="1"/>
  <c r="F74" i="3" l="1"/>
  <c r="I74" i="3" s="1"/>
  <c r="P73" i="3"/>
  <c r="Q73" i="3" s="1"/>
  <c r="L73" i="2"/>
  <c r="T73" i="2" s="1"/>
  <c r="S73" i="2"/>
  <c r="X73" i="2" s="1"/>
  <c r="N72" i="1"/>
  <c r="Y72" i="1"/>
  <c r="V72" i="1"/>
  <c r="W72" i="1" s="1"/>
  <c r="T72" i="1"/>
  <c r="F73" i="1"/>
  <c r="P76" i="2"/>
  <c r="N76" i="3" s="1"/>
  <c r="X75" i="3"/>
  <c r="E74" i="1"/>
  <c r="O74" i="1" s="1"/>
  <c r="M73" i="2"/>
  <c r="K73" i="2"/>
  <c r="U73" i="2" s="1"/>
  <c r="G74" i="3" l="1"/>
  <c r="H74" i="3" s="1"/>
  <c r="Q73" i="2"/>
  <c r="R73" i="2" s="1"/>
  <c r="F74" i="2"/>
  <c r="G74" i="2" s="1"/>
  <c r="H74" i="2" s="1"/>
  <c r="B75" i="3" s="1"/>
  <c r="I73" i="1"/>
  <c r="G73" i="1"/>
  <c r="H73" i="1" s="1"/>
  <c r="B74" i="2" s="1"/>
  <c r="Q72" i="1"/>
  <c r="R72" i="1" s="1"/>
  <c r="J74" i="3"/>
  <c r="R74" i="3" s="1"/>
  <c r="Y75" i="2"/>
  <c r="P76" i="1"/>
  <c r="N76" i="2" s="1"/>
  <c r="E76" i="3" l="1"/>
  <c r="O74" i="3"/>
  <c r="W74" i="3" s="1"/>
  <c r="I74" i="2"/>
  <c r="J74" i="2" s="1"/>
  <c r="E75" i="2"/>
  <c r="O75" i="2" s="1"/>
  <c r="M74" i="3"/>
  <c r="K74" i="3"/>
  <c r="T74" i="3" s="1"/>
  <c r="C76" i="3"/>
  <c r="D76" i="3" s="1"/>
  <c r="C75" i="2"/>
  <c r="D75" i="2" s="1"/>
  <c r="L74" i="3"/>
  <c r="J73" i="1"/>
  <c r="L73" i="1" s="1"/>
  <c r="L74" i="2" l="1"/>
  <c r="F75" i="2" s="1"/>
  <c r="S74" i="2"/>
  <c r="X74" i="2" s="1"/>
  <c r="K74" i="2"/>
  <c r="U74" i="2" s="1"/>
  <c r="F74" i="1"/>
  <c r="V73" i="1"/>
  <c r="W73" i="1" s="1"/>
  <c r="T73" i="1"/>
  <c r="X76" i="3"/>
  <c r="S73" i="1"/>
  <c r="X73" i="1" s="1"/>
  <c r="M73" i="1"/>
  <c r="K73" i="1"/>
  <c r="U73" i="1" s="1"/>
  <c r="S74" i="3"/>
  <c r="F75" i="3"/>
  <c r="M74" i="2"/>
  <c r="E75" i="1"/>
  <c r="O75" i="1" s="1"/>
  <c r="P77" i="2"/>
  <c r="N77" i="3" s="1"/>
  <c r="P74" i="3" l="1"/>
  <c r="Q74" i="3" s="1"/>
  <c r="T74" i="2"/>
  <c r="N73" i="1"/>
  <c r="Q73" i="1" s="1"/>
  <c r="R73" i="1" s="1"/>
  <c r="Y73" i="1"/>
  <c r="I75" i="3"/>
  <c r="G75" i="3"/>
  <c r="H75" i="3" s="1"/>
  <c r="G75" i="2"/>
  <c r="H75" i="2" s="1"/>
  <c r="B76" i="3" s="1"/>
  <c r="I75" i="2"/>
  <c r="P77" i="1"/>
  <c r="N77" i="2" s="1"/>
  <c r="Y76" i="2"/>
  <c r="I74" i="1"/>
  <c r="G74" i="1"/>
  <c r="H74" i="1" s="1"/>
  <c r="B75" i="2" s="1"/>
  <c r="E77" i="3" l="1"/>
  <c r="O75" i="3"/>
  <c r="Q74" i="2"/>
  <c r="R74" i="2" s="1"/>
  <c r="C77" i="3"/>
  <c r="D77" i="3" s="1"/>
  <c r="J74" i="1"/>
  <c r="L74" i="1" s="1"/>
  <c r="C76" i="2"/>
  <c r="D76" i="2" s="1"/>
  <c r="J75" i="3"/>
  <c r="R75" i="3" s="1"/>
  <c r="J75" i="2"/>
  <c r="W75" i="3" l="1"/>
  <c r="K75" i="2"/>
  <c r="U75" i="2" s="1"/>
  <c r="S75" i="2"/>
  <c r="X75" i="2" s="1"/>
  <c r="F75" i="1"/>
  <c r="T74" i="1"/>
  <c r="V74" i="1"/>
  <c r="W74" i="1" s="1"/>
  <c r="M75" i="2"/>
  <c r="E76" i="1"/>
  <c r="O76" i="1" s="1"/>
  <c r="L75" i="2"/>
  <c r="M74" i="1"/>
  <c r="K74" i="1"/>
  <c r="U74" i="1" s="1"/>
  <c r="S74" i="1"/>
  <c r="X74" i="1" s="1"/>
  <c r="E76" i="2"/>
  <c r="O76" i="2" s="1"/>
  <c r="M75" i="3"/>
  <c r="K75" i="3"/>
  <c r="T75" i="3" s="1"/>
  <c r="L75" i="3"/>
  <c r="N74" i="1" l="1"/>
  <c r="Q74" i="1" s="1"/>
  <c r="R74" i="1" s="1"/>
  <c r="Y74" i="1"/>
  <c r="F76" i="3"/>
  <c r="S75" i="3"/>
  <c r="T75" i="2"/>
  <c r="F76" i="2"/>
  <c r="P78" i="1"/>
  <c r="N78" i="2" s="1"/>
  <c r="Y77" i="2"/>
  <c r="X77" i="3"/>
  <c r="P78" i="2"/>
  <c r="N78" i="3" s="1"/>
  <c r="I75" i="1"/>
  <c r="G75" i="1"/>
  <c r="H75" i="1" s="1"/>
  <c r="B76" i="2" s="1"/>
  <c r="P75" i="3" l="1"/>
  <c r="Q75" i="3" s="1"/>
  <c r="Q75" i="2"/>
  <c r="R75" i="2" s="1"/>
  <c r="C77" i="2"/>
  <c r="D77" i="2" s="1"/>
  <c r="I76" i="3"/>
  <c r="G76" i="3"/>
  <c r="H76" i="3" s="1"/>
  <c r="J75" i="1"/>
  <c r="L75" i="1" s="1"/>
  <c r="I76" i="2"/>
  <c r="G76" i="2"/>
  <c r="H76" i="2" s="1"/>
  <c r="B77" i="3" s="1"/>
  <c r="E78" i="3" l="1"/>
  <c r="O76" i="3"/>
  <c r="V75" i="1"/>
  <c r="W75" i="1" s="1"/>
  <c r="F76" i="1"/>
  <c r="T75" i="1"/>
  <c r="J76" i="3"/>
  <c r="R76" i="3" s="1"/>
  <c r="C78" i="3"/>
  <c r="D78" i="3" s="1"/>
  <c r="J76" i="2"/>
  <c r="S75" i="1"/>
  <c r="X75" i="1" s="1"/>
  <c r="K75" i="1"/>
  <c r="U75" i="1" s="1"/>
  <c r="M75" i="1"/>
  <c r="W76" i="3" l="1"/>
  <c r="L76" i="2"/>
  <c r="T76" i="2" s="1"/>
  <c r="S76" i="2"/>
  <c r="X76" i="2" s="1"/>
  <c r="N75" i="1"/>
  <c r="Q75" i="1" s="1"/>
  <c r="R75" i="1" s="1"/>
  <c r="Y75" i="1"/>
  <c r="M76" i="3"/>
  <c r="E77" i="2"/>
  <c r="O77" i="2" s="1"/>
  <c r="K76" i="3"/>
  <c r="T76" i="3" s="1"/>
  <c r="L76" i="3"/>
  <c r="E77" i="1"/>
  <c r="O77" i="1" s="1"/>
  <c r="M76" i="2"/>
  <c r="K76" i="2"/>
  <c r="U76" i="2" s="1"/>
  <c r="I76" i="1"/>
  <c r="G76" i="1"/>
  <c r="H76" i="1" s="1"/>
  <c r="B77" i="2" s="1"/>
  <c r="Q76" i="2" l="1"/>
  <c r="R76" i="2" s="1"/>
  <c r="F77" i="2"/>
  <c r="G77" i="2" s="1"/>
  <c r="H77" i="2" s="1"/>
  <c r="B78" i="3" s="1"/>
  <c r="J76" i="1"/>
  <c r="L76" i="1" s="1"/>
  <c r="P79" i="2"/>
  <c r="N79" i="3" s="1"/>
  <c r="C78" i="2"/>
  <c r="D78" i="2" s="1"/>
  <c r="S76" i="3"/>
  <c r="F77" i="3"/>
  <c r="X78" i="3"/>
  <c r="Y78" i="2"/>
  <c r="P79" i="1"/>
  <c r="N79" i="2" s="1"/>
  <c r="P76" i="3" l="1"/>
  <c r="Q76" i="3" s="1"/>
  <c r="I77" i="2"/>
  <c r="J77" i="2" s="1"/>
  <c r="G77" i="3"/>
  <c r="H77" i="3" s="1"/>
  <c r="I77" i="3"/>
  <c r="C79" i="3"/>
  <c r="D79" i="3" s="1"/>
  <c r="F77" i="1"/>
  <c r="T76" i="1"/>
  <c r="V76" i="1"/>
  <c r="W76" i="1" s="1"/>
  <c r="K76" i="1"/>
  <c r="U76" i="1" s="1"/>
  <c r="M76" i="1"/>
  <c r="S76" i="1"/>
  <c r="X76" i="1" s="1"/>
  <c r="E79" i="3" l="1"/>
  <c r="O77" i="3"/>
  <c r="L77" i="2"/>
  <c r="T77" i="2" s="1"/>
  <c r="S77" i="2"/>
  <c r="X77" i="2" s="1"/>
  <c r="J77" i="3"/>
  <c r="R77" i="3" s="1"/>
  <c r="E78" i="1"/>
  <c r="O78" i="1" s="1"/>
  <c r="M77" i="2"/>
  <c r="K77" i="2"/>
  <c r="U77" i="2" s="1"/>
  <c r="G77" i="1"/>
  <c r="H77" i="1" s="1"/>
  <c r="B78" i="2" s="1"/>
  <c r="I77" i="1"/>
  <c r="Y76" i="1"/>
  <c r="N76" i="1"/>
  <c r="Q76" i="1" s="1"/>
  <c r="R76" i="1" s="1"/>
  <c r="W77" i="3" l="1"/>
  <c r="Q77" i="2"/>
  <c r="R77" i="2" s="1"/>
  <c r="Y79" i="2"/>
  <c r="P80" i="1"/>
  <c r="N80" i="2" s="1"/>
  <c r="E78" i="2"/>
  <c r="M77" i="3"/>
  <c r="K77" i="3"/>
  <c r="T77" i="3" s="1"/>
  <c r="L77" i="3"/>
  <c r="J77" i="1"/>
  <c r="L77" i="1" s="1"/>
  <c r="C79" i="2"/>
  <c r="D79" i="2" s="1"/>
  <c r="S77" i="1" l="1"/>
  <c r="X77" i="1" s="1"/>
  <c r="M77" i="1"/>
  <c r="K77" i="1"/>
  <c r="U77" i="1" s="1"/>
  <c r="X79" i="3"/>
  <c r="O78" i="2"/>
  <c r="F78" i="2"/>
  <c r="V77" i="1"/>
  <c r="W77" i="1" s="1"/>
  <c r="F78" i="1"/>
  <c r="T77" i="1"/>
  <c r="F78" i="3"/>
  <c r="S77" i="3"/>
  <c r="P77" i="3" l="1"/>
  <c r="Q77" i="3" s="1"/>
  <c r="G78" i="1"/>
  <c r="H78" i="1" s="1"/>
  <c r="B79" i="2" s="1"/>
  <c r="I78" i="1"/>
  <c r="N77" i="1"/>
  <c r="Q77" i="1" s="1"/>
  <c r="R77" i="1" s="1"/>
  <c r="Y77" i="1"/>
  <c r="G78" i="3"/>
  <c r="H78" i="3" s="1"/>
  <c r="I78" i="3"/>
  <c r="I78" i="2"/>
  <c r="G78" i="2"/>
  <c r="H78" i="2" s="1"/>
  <c r="B79" i="3" s="1"/>
  <c r="P80" i="2"/>
  <c r="N80" i="3" s="1"/>
  <c r="E80" i="3" l="1"/>
  <c r="O78" i="3"/>
  <c r="J78" i="3"/>
  <c r="R78" i="3" s="1"/>
  <c r="J78" i="1"/>
  <c r="C80" i="2"/>
  <c r="D80" i="2" s="1"/>
  <c r="C80" i="3"/>
  <c r="D80" i="3" s="1"/>
  <c r="J78" i="2"/>
  <c r="W78" i="3" l="1"/>
  <c r="L78" i="2"/>
  <c r="T78" i="2" s="1"/>
  <c r="S78" i="2"/>
  <c r="X78" i="2" s="1"/>
  <c r="S78" i="1"/>
  <c r="X78" i="1" s="1"/>
  <c r="M78" i="1"/>
  <c r="K78" i="1"/>
  <c r="U78" i="1" s="1"/>
  <c r="L78" i="1"/>
  <c r="E79" i="1"/>
  <c r="O79" i="1" s="1"/>
  <c r="M78" i="2"/>
  <c r="K78" i="2"/>
  <c r="U78" i="2" s="1"/>
  <c r="M78" i="3"/>
  <c r="E79" i="2"/>
  <c r="O79" i="2" s="1"/>
  <c r="K78" i="3"/>
  <c r="T78" i="3" s="1"/>
  <c r="L78" i="3"/>
  <c r="Q78" i="2" l="1"/>
  <c r="R78" i="2" s="1"/>
  <c r="P81" i="1"/>
  <c r="N81" i="2" s="1"/>
  <c r="V78" i="1"/>
  <c r="W78" i="1" s="1"/>
  <c r="F79" i="1"/>
  <c r="T78" i="1"/>
  <c r="N78" i="1"/>
  <c r="Y78" i="1"/>
  <c r="X80" i="3"/>
  <c r="F79" i="3"/>
  <c r="S78" i="3"/>
  <c r="P81" i="2"/>
  <c r="N81" i="3" s="1"/>
  <c r="F79" i="2"/>
  <c r="Y80" i="2"/>
  <c r="P78" i="3" l="1"/>
  <c r="Q78" i="3" s="1"/>
  <c r="Q78" i="1"/>
  <c r="R78" i="1" s="1"/>
  <c r="G79" i="2"/>
  <c r="H79" i="2" s="1"/>
  <c r="B80" i="3" s="1"/>
  <c r="I79" i="2"/>
  <c r="G79" i="1"/>
  <c r="H79" i="1" s="1"/>
  <c r="B80" i="2" s="1"/>
  <c r="I79" i="1"/>
  <c r="I79" i="3"/>
  <c r="G79" i="3"/>
  <c r="H79" i="3" s="1"/>
  <c r="E81" i="3" l="1"/>
  <c r="O79" i="3"/>
  <c r="J79" i="1"/>
  <c r="J79" i="3"/>
  <c r="R79" i="3" s="1"/>
  <c r="C81" i="2"/>
  <c r="D81" i="2" s="1"/>
  <c r="J79" i="2"/>
  <c r="S79" i="2" s="1"/>
  <c r="X79" i="2" s="1"/>
  <c r="C81" i="3"/>
  <c r="D81" i="3" s="1"/>
  <c r="W79" i="3" l="1"/>
  <c r="E80" i="1"/>
  <c r="O80" i="1" s="1"/>
  <c r="M79" i="2"/>
  <c r="K79" i="2"/>
  <c r="U79" i="2" s="1"/>
  <c r="E80" i="2"/>
  <c r="O80" i="2" s="1"/>
  <c r="M79" i="3"/>
  <c r="K79" i="3"/>
  <c r="T79" i="3" s="1"/>
  <c r="L79" i="3"/>
  <c r="K79" i="1"/>
  <c r="U79" i="1" s="1"/>
  <c r="M79" i="1"/>
  <c r="S79" i="1"/>
  <c r="X79" i="1" s="1"/>
  <c r="L79" i="2"/>
  <c r="L79" i="1"/>
  <c r="N79" i="1" l="1"/>
  <c r="Y79" i="1"/>
  <c r="Y81" i="2"/>
  <c r="P82" i="1"/>
  <c r="N82" i="2" s="1"/>
  <c r="F80" i="1"/>
  <c r="V79" i="1"/>
  <c r="W79" i="1" s="1"/>
  <c r="T79" i="1"/>
  <c r="X81" i="3"/>
  <c r="P82" i="2"/>
  <c r="N82" i="3" s="1"/>
  <c r="F80" i="3"/>
  <c r="S79" i="3"/>
  <c r="T79" i="2"/>
  <c r="F80" i="2"/>
  <c r="P79" i="3" l="1"/>
  <c r="Q79" i="3" s="1"/>
  <c r="Q79" i="2"/>
  <c r="R79" i="2" s="1"/>
  <c r="G80" i="1"/>
  <c r="H80" i="1" s="1"/>
  <c r="B81" i="2" s="1"/>
  <c r="I80" i="1"/>
  <c r="I80" i="2"/>
  <c r="G80" i="2"/>
  <c r="H80" i="2" s="1"/>
  <c r="B81" i="3" s="1"/>
  <c r="I80" i="3"/>
  <c r="G80" i="3"/>
  <c r="H80" i="3" s="1"/>
  <c r="Q79" i="1"/>
  <c r="R79" i="1" s="1"/>
  <c r="E82" i="3" l="1"/>
  <c r="O80" i="3"/>
  <c r="J80" i="3"/>
  <c r="R80" i="3" s="1"/>
  <c r="J80" i="2"/>
  <c r="J80" i="1"/>
  <c r="C82" i="3"/>
  <c r="D82" i="3" s="1"/>
  <c r="C82" i="2"/>
  <c r="D82" i="2" s="1"/>
  <c r="W80" i="3" l="1"/>
  <c r="L80" i="2"/>
  <c r="T80" i="2" s="1"/>
  <c r="S80" i="2"/>
  <c r="M80" i="1"/>
  <c r="K80" i="1"/>
  <c r="U80" i="1" s="1"/>
  <c r="S80" i="1"/>
  <c r="L80" i="1"/>
  <c r="E81" i="1"/>
  <c r="O81" i="1" s="1"/>
  <c r="M80" i="2"/>
  <c r="K80" i="2"/>
  <c r="U80" i="2" s="1"/>
  <c r="E81" i="2"/>
  <c r="O81" i="2" s="1"/>
  <c r="M80" i="3"/>
  <c r="K80" i="3"/>
  <c r="T80" i="3" s="1"/>
  <c r="L80" i="3"/>
  <c r="X80" i="1" l="1"/>
  <c r="X80" i="2"/>
  <c r="Q80" i="2"/>
  <c r="R80" i="2" s="1"/>
  <c r="F81" i="3"/>
  <c r="S80" i="3"/>
  <c r="V80" i="1"/>
  <c r="W80" i="1" s="1"/>
  <c r="T80" i="1"/>
  <c r="F81" i="1"/>
  <c r="X82" i="3"/>
  <c r="P83" i="2"/>
  <c r="N83" i="3" s="1"/>
  <c r="N80" i="1"/>
  <c r="Y80" i="1"/>
  <c r="Y82" i="2"/>
  <c r="P83" i="1"/>
  <c r="N83" i="2" s="1"/>
  <c r="F81" i="2"/>
  <c r="P80" i="3" l="1"/>
  <c r="Q80" i="3" s="1"/>
  <c r="I81" i="1"/>
  <c r="G81" i="1"/>
  <c r="H81" i="1" s="1"/>
  <c r="B82" i="2" s="1"/>
  <c r="Q80" i="1"/>
  <c r="R80" i="1" s="1"/>
  <c r="G81" i="2"/>
  <c r="H81" i="2" s="1"/>
  <c r="B82" i="3" s="1"/>
  <c r="I81" i="2"/>
  <c r="G81" i="3"/>
  <c r="H81" i="3" s="1"/>
  <c r="I81" i="3"/>
  <c r="E83" i="3" l="1"/>
  <c r="O81" i="3"/>
  <c r="J81" i="3"/>
  <c r="C83" i="3"/>
  <c r="D83" i="3" s="1"/>
  <c r="C83" i="2"/>
  <c r="D83" i="2" s="1"/>
  <c r="J81" i="2"/>
  <c r="J81" i="1"/>
  <c r="R81" i="3" l="1"/>
  <c r="L81" i="2"/>
  <c r="T81" i="2" s="1"/>
  <c r="S81" i="2"/>
  <c r="M81" i="1"/>
  <c r="S81" i="1"/>
  <c r="K81" i="1"/>
  <c r="M81" i="2"/>
  <c r="E82" i="1"/>
  <c r="O82" i="1" s="1"/>
  <c r="K81" i="2"/>
  <c r="L81" i="1"/>
  <c r="M81" i="3"/>
  <c r="E82" i="2"/>
  <c r="O82" i="2" s="1"/>
  <c r="K81" i="3"/>
  <c r="L81" i="3"/>
  <c r="X81" i="1" l="1"/>
  <c r="X81" i="2"/>
  <c r="W81" i="3"/>
  <c r="Q81" i="2"/>
  <c r="U81" i="1"/>
  <c r="P84" i="2"/>
  <c r="N84" i="3" s="1"/>
  <c r="F82" i="2"/>
  <c r="U81" i="2"/>
  <c r="X83" i="3"/>
  <c r="V81" i="1"/>
  <c r="W81" i="1" s="1"/>
  <c r="T81" i="1"/>
  <c r="F82" i="1"/>
  <c r="F82" i="3"/>
  <c r="S81" i="3"/>
  <c r="P84" i="1"/>
  <c r="N84" i="2" s="1"/>
  <c r="T81" i="3"/>
  <c r="Y83" i="2"/>
  <c r="Y81" i="1"/>
  <c r="N81" i="1"/>
  <c r="P81" i="3" l="1"/>
  <c r="R81" i="2"/>
  <c r="G82" i="2"/>
  <c r="H82" i="2" s="1"/>
  <c r="B83" i="3" s="1"/>
  <c r="I82" i="2"/>
  <c r="I82" i="3"/>
  <c r="G82" i="3"/>
  <c r="H82" i="3" s="1"/>
  <c r="Q81" i="1"/>
  <c r="G82" i="1"/>
  <c r="H82" i="1" s="1"/>
  <c r="B83" i="2" s="1"/>
  <c r="I82" i="1"/>
  <c r="E84" i="3" l="1"/>
  <c r="O82" i="3"/>
  <c r="Q81" i="3"/>
  <c r="C84" i="2"/>
  <c r="D84" i="2" s="1"/>
  <c r="J82" i="2"/>
  <c r="J82" i="3"/>
  <c r="R82" i="3" s="1"/>
  <c r="J82" i="1"/>
  <c r="L82" i="1" s="1"/>
  <c r="R81" i="1"/>
  <c r="C84" i="3"/>
  <c r="D84" i="3" s="1"/>
  <c r="W82" i="3" l="1"/>
  <c r="L82" i="2"/>
  <c r="S82" i="2"/>
  <c r="X82" i="2" s="1"/>
  <c r="T82" i="1"/>
  <c r="V82" i="1"/>
  <c r="W82" i="1" s="1"/>
  <c r="M82" i="3"/>
  <c r="E83" i="2"/>
  <c r="O83" i="2" s="1"/>
  <c r="K82" i="3"/>
  <c r="T82" i="3" s="1"/>
  <c r="L82" i="3"/>
  <c r="S82" i="1"/>
  <c r="X82" i="1" s="1"/>
  <c r="M82" i="1"/>
  <c r="K82" i="1"/>
  <c r="U82" i="1" s="1"/>
  <c r="E83" i="1"/>
  <c r="O83" i="1" s="1"/>
  <c r="M82" i="2"/>
  <c r="K82" i="2"/>
  <c r="U82" i="2" s="1"/>
  <c r="T82" i="2" l="1"/>
  <c r="Q82" i="2" s="1"/>
  <c r="F83" i="2"/>
  <c r="G83" i="2" s="1"/>
  <c r="H83" i="2" s="1"/>
  <c r="B84" i="3" s="1"/>
  <c r="X84" i="3"/>
  <c r="Y84" i="2"/>
  <c r="N82" i="1"/>
  <c r="Q82" i="1" s="1"/>
  <c r="Y82" i="1"/>
  <c r="P85" i="1"/>
  <c r="N85" i="2" s="1"/>
  <c r="S82" i="3"/>
  <c r="F83" i="3"/>
  <c r="P85" i="2"/>
  <c r="N85" i="3" s="1"/>
  <c r="F83" i="1"/>
  <c r="R82" i="1" l="1"/>
  <c r="R82" i="2"/>
  <c r="P82" i="3"/>
  <c r="I83" i="2"/>
  <c r="J83" i="2" s="1"/>
  <c r="C85" i="3"/>
  <c r="D85" i="3" s="1"/>
  <c r="I83" i="3"/>
  <c r="G83" i="3"/>
  <c r="H83" i="3" s="1"/>
  <c r="G83" i="1"/>
  <c r="H83" i="1" s="1"/>
  <c r="B84" i="2" s="1"/>
  <c r="I83" i="1"/>
  <c r="E85" i="3" l="1"/>
  <c r="O83" i="3"/>
  <c r="Q82" i="3"/>
  <c r="L83" i="2"/>
  <c r="S83" i="2"/>
  <c r="X83" i="2" s="1"/>
  <c r="C85" i="2"/>
  <c r="D85" i="2" s="1"/>
  <c r="J83" i="3"/>
  <c r="R83" i="3" s="1"/>
  <c r="J83" i="1"/>
  <c r="L83" i="1" s="1"/>
  <c r="E84" i="1"/>
  <c r="O84" i="1" s="1"/>
  <c r="M83" i="2"/>
  <c r="K83" i="2"/>
  <c r="U83" i="2" s="1"/>
  <c r="W83" i="3" l="1"/>
  <c r="T83" i="2"/>
  <c r="Q83" i="2" s="1"/>
  <c r="M83" i="3"/>
  <c r="E84" i="2"/>
  <c r="K83" i="3"/>
  <c r="T83" i="3" s="1"/>
  <c r="P86" i="1"/>
  <c r="N86" i="2" s="1"/>
  <c r="K83" i="1"/>
  <c r="U83" i="1" s="1"/>
  <c r="S83" i="1"/>
  <c r="X83" i="1" s="1"/>
  <c r="M83" i="1"/>
  <c r="L83" i="3"/>
  <c r="Y85" i="2"/>
  <c r="V83" i="1"/>
  <c r="W83" i="1" s="1"/>
  <c r="F84" i="1"/>
  <c r="T83" i="1"/>
  <c r="R83" i="2" l="1"/>
  <c r="I84" i="1"/>
  <c r="G84" i="1"/>
  <c r="H84" i="1" s="1"/>
  <c r="B85" i="2" s="1"/>
  <c r="O84" i="2"/>
  <c r="F84" i="2"/>
  <c r="N83" i="1"/>
  <c r="Q83" i="1" s="1"/>
  <c r="Y83" i="1"/>
  <c r="S83" i="3"/>
  <c r="F84" i="3"/>
  <c r="X85" i="3"/>
  <c r="R83" i="1" l="1"/>
  <c r="P83" i="3"/>
  <c r="C86" i="2"/>
  <c r="D86" i="2" s="1"/>
  <c r="G84" i="2"/>
  <c r="H84" i="2" s="1"/>
  <c r="B85" i="3" s="1"/>
  <c r="I84" i="2"/>
  <c r="P86" i="2"/>
  <c r="N86" i="3" s="1"/>
  <c r="G84" i="3"/>
  <c r="H84" i="3" s="1"/>
  <c r="I84" i="3"/>
  <c r="J84" i="1"/>
  <c r="E86" i="3" l="1"/>
  <c r="O84" i="3"/>
  <c r="Q83" i="3"/>
  <c r="J84" i="2"/>
  <c r="S84" i="2" s="1"/>
  <c r="X84" i="2" s="1"/>
  <c r="C86" i="3"/>
  <c r="D86" i="3" s="1"/>
  <c r="M84" i="1"/>
  <c r="S84" i="1"/>
  <c r="X84" i="1" s="1"/>
  <c r="K84" i="1"/>
  <c r="U84" i="1" s="1"/>
  <c r="L84" i="1"/>
  <c r="J84" i="3"/>
  <c r="R84" i="3" s="1"/>
  <c r="W84" i="3" l="1"/>
  <c r="N84" i="1"/>
  <c r="Y84" i="1"/>
  <c r="E85" i="2"/>
  <c r="O85" i="2" s="1"/>
  <c r="M84" i="3"/>
  <c r="K84" i="3"/>
  <c r="T84" i="3" s="1"/>
  <c r="L84" i="3"/>
  <c r="T84" i="1"/>
  <c r="V84" i="1"/>
  <c r="W84" i="1" s="1"/>
  <c r="M84" i="2"/>
  <c r="E85" i="1"/>
  <c r="O85" i="1" s="1"/>
  <c r="K84" i="2"/>
  <c r="U84" i="2" s="1"/>
  <c r="L84" i="2"/>
  <c r="X86" i="3" l="1"/>
  <c r="P87" i="1"/>
  <c r="N87" i="2" s="1"/>
  <c r="Y86" i="2"/>
  <c r="F85" i="3"/>
  <c r="S84" i="3"/>
  <c r="T84" i="2"/>
  <c r="F85" i="2"/>
  <c r="P87" i="2"/>
  <c r="N87" i="3" s="1"/>
  <c r="F85" i="1"/>
  <c r="Q84" i="1"/>
  <c r="R84" i="1" l="1"/>
  <c r="P84" i="3"/>
  <c r="Q84" i="2"/>
  <c r="I85" i="1"/>
  <c r="G85" i="1"/>
  <c r="H85" i="1" s="1"/>
  <c r="B86" i="2" s="1"/>
  <c r="I85" i="2"/>
  <c r="G85" i="2"/>
  <c r="H85" i="2" s="1"/>
  <c r="B86" i="3" s="1"/>
  <c r="G85" i="3"/>
  <c r="H85" i="3" s="1"/>
  <c r="I85" i="3"/>
  <c r="E87" i="3" l="1"/>
  <c r="O85" i="3"/>
  <c r="R84" i="2"/>
  <c r="Q84" i="3"/>
  <c r="C87" i="3"/>
  <c r="D87" i="3" s="1"/>
  <c r="J85" i="2"/>
  <c r="J85" i="3"/>
  <c r="R85" i="3" s="1"/>
  <c r="W85" i="3" s="1"/>
  <c r="C87" i="2"/>
  <c r="D87" i="2" s="1"/>
  <c r="J85" i="1"/>
  <c r="L85" i="1" s="1"/>
  <c r="L85" i="2" l="1"/>
  <c r="S85" i="2"/>
  <c r="X85" i="2" s="1"/>
  <c r="V85" i="1"/>
  <c r="W85" i="1" s="1"/>
  <c r="T85" i="1"/>
  <c r="M85" i="3"/>
  <c r="E86" i="2"/>
  <c r="O86" i="2" s="1"/>
  <c r="K85" i="3"/>
  <c r="T85" i="3" s="1"/>
  <c r="L85" i="3"/>
  <c r="M85" i="2"/>
  <c r="E86" i="1"/>
  <c r="O86" i="1" s="1"/>
  <c r="K85" i="2"/>
  <c r="U85" i="2" s="1"/>
  <c r="K85" i="1"/>
  <c r="U85" i="1" s="1"/>
  <c r="S85" i="1"/>
  <c r="X85" i="1" s="1"/>
  <c r="M85" i="1"/>
  <c r="T85" i="2" l="1"/>
  <c r="Q85" i="2" s="1"/>
  <c r="F86" i="1"/>
  <c r="G86" i="1" s="1"/>
  <c r="H86" i="1" s="1"/>
  <c r="B87" i="2" s="1"/>
  <c r="P88" i="1"/>
  <c r="N88" i="2" s="1"/>
  <c r="F86" i="3"/>
  <c r="S85" i="3"/>
  <c r="P88" i="2"/>
  <c r="N88" i="3" s="1"/>
  <c r="X87" i="3"/>
  <c r="Y87" i="2"/>
  <c r="F86" i="2"/>
  <c r="N85" i="1"/>
  <c r="Q85" i="1" s="1"/>
  <c r="Y85" i="1"/>
  <c r="R85" i="2" l="1"/>
  <c r="R85" i="1"/>
  <c r="P85" i="3"/>
  <c r="I86" i="1"/>
  <c r="J86" i="1" s="1"/>
  <c r="I86" i="2"/>
  <c r="G86" i="2"/>
  <c r="H86" i="2" s="1"/>
  <c r="B87" i="3" s="1"/>
  <c r="G86" i="3"/>
  <c r="H86" i="3" s="1"/>
  <c r="I86" i="3"/>
  <c r="C88" i="2"/>
  <c r="D88" i="2" s="1"/>
  <c r="E88" i="3" l="1"/>
  <c r="O86" i="3"/>
  <c r="Q85" i="3"/>
  <c r="J86" i="2"/>
  <c r="S86" i="2" s="1"/>
  <c r="X86" i="2" s="1"/>
  <c r="C88" i="3"/>
  <c r="D88" i="3" s="1"/>
  <c r="M86" i="1"/>
  <c r="K86" i="1"/>
  <c r="U86" i="1" s="1"/>
  <c r="S86" i="1"/>
  <c r="X86" i="1" s="1"/>
  <c r="J86" i="3"/>
  <c r="L86" i="1"/>
  <c r="L86" i="3" l="1"/>
  <c r="S86" i="3" s="1"/>
  <c r="R86" i="3"/>
  <c r="W86" i="3" s="1"/>
  <c r="T86" i="1"/>
  <c r="V86" i="1"/>
  <c r="W86" i="1" s="1"/>
  <c r="E87" i="2"/>
  <c r="O87" i="2" s="1"/>
  <c r="M86" i="3"/>
  <c r="K86" i="3"/>
  <c r="T86" i="3" s="1"/>
  <c r="E87" i="1"/>
  <c r="O87" i="1" s="1"/>
  <c r="M86" i="2"/>
  <c r="K86" i="2"/>
  <c r="U86" i="2" s="1"/>
  <c r="N86" i="1"/>
  <c r="Q86" i="1" s="1"/>
  <c r="Y86" i="1"/>
  <c r="L86" i="2"/>
  <c r="R86" i="1" l="1"/>
  <c r="P86" i="3"/>
  <c r="F87" i="3"/>
  <c r="I87" i="3" s="1"/>
  <c r="F87" i="1"/>
  <c r="G87" i="1" s="1"/>
  <c r="H87" i="1" s="1"/>
  <c r="B88" i="2" s="1"/>
  <c r="P89" i="2"/>
  <c r="N89" i="3" s="1"/>
  <c r="F87" i="2"/>
  <c r="T86" i="2"/>
  <c r="Y88" i="2"/>
  <c r="P89" i="1"/>
  <c r="N89" i="2" s="1"/>
  <c r="X88" i="3"/>
  <c r="Q86" i="3" l="1"/>
  <c r="G87" i="3"/>
  <c r="H87" i="3" s="1"/>
  <c r="Q86" i="2"/>
  <c r="I87" i="1"/>
  <c r="J87" i="1" s="1"/>
  <c r="L87" i="1" s="1"/>
  <c r="C89" i="2"/>
  <c r="D89" i="2" s="1"/>
  <c r="I87" i="2"/>
  <c r="G87" i="2"/>
  <c r="H87" i="2" s="1"/>
  <c r="B88" i="3" s="1"/>
  <c r="J87" i="3"/>
  <c r="R87" i="3" s="1"/>
  <c r="E89" i="3" l="1"/>
  <c r="O87" i="3"/>
  <c r="W87" i="3" s="1"/>
  <c r="R86" i="2"/>
  <c r="E88" i="2"/>
  <c r="O88" i="2" s="1"/>
  <c r="M87" i="3"/>
  <c r="K87" i="3"/>
  <c r="T87" i="3" s="1"/>
  <c r="J87" i="2"/>
  <c r="S87" i="2" s="1"/>
  <c r="X87" i="2" s="1"/>
  <c r="L87" i="3"/>
  <c r="C89" i="3"/>
  <c r="D89" i="3" s="1"/>
  <c r="T87" i="1"/>
  <c r="V87" i="1"/>
  <c r="W87" i="1" s="1"/>
  <c r="S87" i="1"/>
  <c r="X87" i="1" s="1"/>
  <c r="M87" i="1"/>
  <c r="K87" i="1"/>
  <c r="U87" i="1" s="1"/>
  <c r="F88" i="3" l="1"/>
  <c r="S87" i="3"/>
  <c r="M87" i="2"/>
  <c r="E88" i="1"/>
  <c r="K87" i="2"/>
  <c r="U87" i="2" s="1"/>
  <c r="L87" i="2"/>
  <c r="Y87" i="1"/>
  <c r="N87" i="1"/>
  <c r="Q87" i="1" s="1"/>
  <c r="R87" i="1" s="1"/>
  <c r="X89" i="3"/>
  <c r="P90" i="2"/>
  <c r="N90" i="3" s="1"/>
  <c r="P87" i="3" l="1"/>
  <c r="Q87" i="3" s="1"/>
  <c r="O88" i="1"/>
  <c r="F88" i="1"/>
  <c r="Y89" i="2"/>
  <c r="F88" i="2"/>
  <c r="T87" i="2"/>
  <c r="G88" i="3"/>
  <c r="H88" i="3" s="1"/>
  <c r="I88" i="3"/>
  <c r="E90" i="3" l="1"/>
  <c r="O88" i="3"/>
  <c r="Q87" i="2"/>
  <c r="R87" i="2" s="1"/>
  <c r="G88" i="2"/>
  <c r="H88" i="2" s="1"/>
  <c r="B89" i="3" s="1"/>
  <c r="I88" i="2"/>
  <c r="J88" i="3"/>
  <c r="R88" i="3" s="1"/>
  <c r="W88" i="3" s="1"/>
  <c r="I88" i="1"/>
  <c r="G88" i="1"/>
  <c r="H88" i="1" s="1"/>
  <c r="B89" i="2" s="1"/>
  <c r="P90" i="1"/>
  <c r="N90" i="2" s="1"/>
  <c r="C90" i="2" l="1"/>
  <c r="D90" i="2" s="1"/>
  <c r="J88" i="1"/>
  <c r="L88" i="1" s="1"/>
  <c r="E89" i="2"/>
  <c r="O89" i="2" s="1"/>
  <c r="M88" i="3"/>
  <c r="K88" i="3"/>
  <c r="T88" i="3" s="1"/>
  <c r="L88" i="3"/>
  <c r="J88" i="2"/>
  <c r="C90" i="3"/>
  <c r="D90" i="3" s="1"/>
  <c r="L88" i="2" l="1"/>
  <c r="T88" i="2" s="1"/>
  <c r="S88" i="2"/>
  <c r="X88" i="2" s="1"/>
  <c r="P91" i="2"/>
  <c r="N91" i="3" s="1"/>
  <c r="M88" i="1"/>
  <c r="K88" i="1"/>
  <c r="U88" i="1" s="1"/>
  <c r="S88" i="1"/>
  <c r="X88" i="1" s="1"/>
  <c r="M88" i="2"/>
  <c r="E89" i="1"/>
  <c r="O89" i="1" s="1"/>
  <c r="K88" i="2"/>
  <c r="U88" i="2" s="1"/>
  <c r="X90" i="3"/>
  <c r="T88" i="1"/>
  <c r="V88" i="1"/>
  <c r="W88" i="1" s="1"/>
  <c r="F89" i="3"/>
  <c r="S88" i="3"/>
  <c r="P88" i="3" l="1"/>
  <c r="Q88" i="3" s="1"/>
  <c r="Q88" i="2"/>
  <c r="R88" i="2" s="1"/>
  <c r="F89" i="2"/>
  <c r="G89" i="2" s="1"/>
  <c r="H89" i="2" s="1"/>
  <c r="B90" i="3" s="1"/>
  <c r="P91" i="1"/>
  <c r="N91" i="2" s="1"/>
  <c r="I89" i="3"/>
  <c r="G89" i="3"/>
  <c r="H89" i="3" s="1"/>
  <c r="Y90" i="2"/>
  <c r="N88" i="1"/>
  <c r="Q88" i="1" s="1"/>
  <c r="R88" i="1" s="1"/>
  <c r="Y88" i="1"/>
  <c r="F89" i="1"/>
  <c r="E91" i="3" l="1"/>
  <c r="O89" i="3"/>
  <c r="I89" i="2"/>
  <c r="J89" i="2" s="1"/>
  <c r="C91" i="3"/>
  <c r="D91" i="3" s="1"/>
  <c r="J89" i="3"/>
  <c r="R89" i="3" s="1"/>
  <c r="W89" i="3" s="1"/>
  <c r="I89" i="1"/>
  <c r="G89" i="1"/>
  <c r="H89" i="1" s="1"/>
  <c r="B90" i="2" s="1"/>
  <c r="L89" i="2" l="1"/>
  <c r="T89" i="2" s="1"/>
  <c r="S89" i="2"/>
  <c r="X89" i="2" s="1"/>
  <c r="J89" i="1"/>
  <c r="M89" i="2"/>
  <c r="E90" i="1"/>
  <c r="O90" i="1" s="1"/>
  <c r="K89" i="2"/>
  <c r="U89" i="2" s="1"/>
  <c r="C91" i="2"/>
  <c r="D91" i="2" s="1"/>
  <c r="E90" i="2"/>
  <c r="O90" i="2" s="1"/>
  <c r="M89" i="3"/>
  <c r="K89" i="3"/>
  <c r="T89" i="3" s="1"/>
  <c r="L89" i="3"/>
  <c r="Q89" i="2" l="1"/>
  <c r="R89" i="2" s="1"/>
  <c r="P92" i="1"/>
  <c r="N92" i="2" s="1"/>
  <c r="Y91" i="2"/>
  <c r="F90" i="2"/>
  <c r="M89" i="1"/>
  <c r="K89" i="1"/>
  <c r="U89" i="1" s="1"/>
  <c r="S89" i="1"/>
  <c r="X89" i="1" s="1"/>
  <c r="P92" i="2"/>
  <c r="N92" i="3" s="1"/>
  <c r="S89" i="3"/>
  <c r="F90" i="3"/>
  <c r="X91" i="3"/>
  <c r="L89" i="1"/>
  <c r="P89" i="3" l="1"/>
  <c r="Q89" i="3" s="1"/>
  <c r="I90" i="2"/>
  <c r="G90" i="2"/>
  <c r="H90" i="2" s="1"/>
  <c r="B91" i="3" s="1"/>
  <c r="G90" i="3"/>
  <c r="H90" i="3" s="1"/>
  <c r="I90" i="3"/>
  <c r="T89" i="1"/>
  <c r="F90" i="1"/>
  <c r="V89" i="1"/>
  <c r="W89" i="1" s="1"/>
  <c r="N89" i="1"/>
  <c r="Y89" i="1"/>
  <c r="E92" i="3" l="1"/>
  <c r="O90" i="3"/>
  <c r="J90" i="3"/>
  <c r="R90" i="3" s="1"/>
  <c r="Q89" i="1"/>
  <c r="R89" i="1" s="1"/>
  <c r="C92" i="3"/>
  <c r="D92" i="3" s="1"/>
  <c r="G90" i="1"/>
  <c r="H90" i="1" s="1"/>
  <c r="B91" i="2" s="1"/>
  <c r="I90" i="1"/>
  <c r="J90" i="2"/>
  <c r="S90" i="2" s="1"/>
  <c r="X90" i="2" s="1"/>
  <c r="W90" i="3" l="1"/>
  <c r="C92" i="2"/>
  <c r="D92" i="2" s="1"/>
  <c r="M90" i="2"/>
  <c r="E91" i="1"/>
  <c r="O91" i="1" s="1"/>
  <c r="K90" i="2"/>
  <c r="U90" i="2" s="1"/>
  <c r="M90" i="3"/>
  <c r="E91" i="2"/>
  <c r="O91" i="2" s="1"/>
  <c r="K90" i="3"/>
  <c r="T90" i="3" s="1"/>
  <c r="J90" i="1"/>
  <c r="L90" i="1" s="1"/>
  <c r="L90" i="3"/>
  <c r="L90" i="2"/>
  <c r="V90" i="1" l="1"/>
  <c r="W90" i="1" s="1"/>
  <c r="F91" i="1"/>
  <c r="T90" i="1"/>
  <c r="P93" i="1"/>
  <c r="N93" i="2" s="1"/>
  <c r="F91" i="3"/>
  <c r="S90" i="3"/>
  <c r="Y92" i="2"/>
  <c r="P93" i="2"/>
  <c r="N93" i="3" s="1"/>
  <c r="X92" i="3"/>
  <c r="T90" i="2"/>
  <c r="F91" i="2"/>
  <c r="K90" i="1"/>
  <c r="U90" i="1" s="1"/>
  <c r="S90" i="1"/>
  <c r="X90" i="1" s="1"/>
  <c r="M90" i="1"/>
  <c r="P90" i="3" l="1"/>
  <c r="Q90" i="3" s="1"/>
  <c r="Q90" i="2"/>
  <c r="R90" i="2" s="1"/>
  <c r="G91" i="3"/>
  <c r="H91" i="3" s="1"/>
  <c r="I91" i="3"/>
  <c r="N90" i="1"/>
  <c r="Q90" i="1" s="1"/>
  <c r="R90" i="1" s="1"/>
  <c r="Y90" i="1"/>
  <c r="G91" i="2"/>
  <c r="H91" i="2" s="1"/>
  <c r="B92" i="3" s="1"/>
  <c r="I91" i="2"/>
  <c r="G91" i="1"/>
  <c r="H91" i="1" s="1"/>
  <c r="B92" i="2" s="1"/>
  <c r="I91" i="1"/>
  <c r="E93" i="3" l="1"/>
  <c r="O91" i="3"/>
  <c r="C93" i="3"/>
  <c r="D93" i="3" s="1"/>
  <c r="J91" i="3"/>
  <c r="R91" i="3" s="1"/>
  <c r="W91" i="3" s="1"/>
  <c r="J91" i="1"/>
  <c r="L91" i="1" s="1"/>
  <c r="C93" i="2"/>
  <c r="D93" i="2" s="1"/>
  <c r="J91" i="2"/>
  <c r="L91" i="2" l="1"/>
  <c r="T91" i="2" s="1"/>
  <c r="S91" i="2"/>
  <c r="X91" i="2" s="1"/>
  <c r="M91" i="3"/>
  <c r="E92" i="2"/>
  <c r="O92" i="2" s="1"/>
  <c r="K91" i="3"/>
  <c r="T91" i="3" s="1"/>
  <c r="L91" i="3"/>
  <c r="T91" i="1"/>
  <c r="V91" i="1"/>
  <c r="W91" i="1" s="1"/>
  <c r="E92" i="1"/>
  <c r="O92" i="1" s="1"/>
  <c r="M91" i="2"/>
  <c r="K91" i="2"/>
  <c r="U91" i="2" s="1"/>
  <c r="M91" i="1"/>
  <c r="K91" i="1"/>
  <c r="U91" i="1" s="1"/>
  <c r="S91" i="1"/>
  <c r="X91" i="1" s="1"/>
  <c r="Q91" i="2" l="1"/>
  <c r="R91" i="2" s="1"/>
  <c r="F92" i="1"/>
  <c r="I92" i="1" s="1"/>
  <c r="P94" i="2"/>
  <c r="N94" i="3" s="1"/>
  <c r="X93" i="3"/>
  <c r="N91" i="1"/>
  <c r="Q91" i="1" s="1"/>
  <c r="R91" i="1" s="1"/>
  <c r="Y91" i="1"/>
  <c r="Y93" i="2"/>
  <c r="P94" i="1"/>
  <c r="N94" i="2" s="1"/>
  <c r="F92" i="3"/>
  <c r="S91" i="3"/>
  <c r="F92" i="2"/>
  <c r="P91" i="3" l="1"/>
  <c r="Q91" i="3" s="1"/>
  <c r="G92" i="1"/>
  <c r="H92" i="1" s="1"/>
  <c r="B93" i="2" s="1"/>
  <c r="C94" i="2" s="1"/>
  <c r="D94" i="2" s="1"/>
  <c r="I92" i="2"/>
  <c r="G92" i="2"/>
  <c r="H92" i="2" s="1"/>
  <c r="B93" i="3" s="1"/>
  <c r="J92" i="1"/>
  <c r="G92" i="3"/>
  <c r="H92" i="3" s="1"/>
  <c r="I92" i="3"/>
  <c r="E94" i="3" l="1"/>
  <c r="O92" i="3"/>
  <c r="K92" i="1"/>
  <c r="U92" i="1" s="1"/>
  <c r="S92" i="1"/>
  <c r="X92" i="1" s="1"/>
  <c r="M92" i="1"/>
  <c r="J92" i="3"/>
  <c r="R92" i="3" s="1"/>
  <c r="L92" i="1"/>
  <c r="C94" i="3"/>
  <c r="D94" i="3" s="1"/>
  <c r="J92" i="2"/>
  <c r="W92" i="3" l="1"/>
  <c r="L92" i="2"/>
  <c r="T92" i="2" s="1"/>
  <c r="S92" i="2"/>
  <c r="X92" i="2" s="1"/>
  <c r="M92" i="2"/>
  <c r="E93" i="1"/>
  <c r="O93" i="1" s="1"/>
  <c r="K92" i="2"/>
  <c r="U92" i="2" s="1"/>
  <c r="E93" i="2"/>
  <c r="O93" i="2" s="1"/>
  <c r="M92" i="3"/>
  <c r="K92" i="3"/>
  <c r="T92" i="3" s="1"/>
  <c r="L92" i="3"/>
  <c r="Y92" i="1"/>
  <c r="N92" i="1"/>
  <c r="V92" i="1"/>
  <c r="W92" i="1" s="1"/>
  <c r="T92" i="1"/>
  <c r="Q92" i="2" l="1"/>
  <c r="R92" i="2" s="1"/>
  <c r="F93" i="1"/>
  <c r="I93" i="1" s="1"/>
  <c r="X94" i="3"/>
  <c r="P95" i="1"/>
  <c r="N95" i="2" s="1"/>
  <c r="Y94" i="2"/>
  <c r="Q92" i="1"/>
  <c r="R92" i="1" s="1"/>
  <c r="F93" i="2"/>
  <c r="F93" i="3"/>
  <c r="S92" i="3"/>
  <c r="P95" i="2"/>
  <c r="N95" i="3" s="1"/>
  <c r="P92" i="3" l="1"/>
  <c r="Q92" i="3" s="1"/>
  <c r="G93" i="1"/>
  <c r="H93" i="1" s="1"/>
  <c r="B94" i="2" s="1"/>
  <c r="C95" i="2" s="1"/>
  <c r="D95" i="2" s="1"/>
  <c r="I93" i="3"/>
  <c r="G93" i="3"/>
  <c r="H93" i="3" s="1"/>
  <c r="J93" i="1"/>
  <c r="I93" i="2"/>
  <c r="G93" i="2"/>
  <c r="H93" i="2" s="1"/>
  <c r="B94" i="3" s="1"/>
  <c r="E95" i="3" l="1"/>
  <c r="O93" i="3"/>
  <c r="C95" i="3"/>
  <c r="D95" i="3" s="1"/>
  <c r="J93" i="2"/>
  <c r="S93" i="2" s="1"/>
  <c r="X93" i="2" s="1"/>
  <c r="J93" i="3"/>
  <c r="R93" i="3" s="1"/>
  <c r="W93" i="3" s="1"/>
  <c r="M93" i="1"/>
  <c r="S93" i="1"/>
  <c r="X93" i="1" s="1"/>
  <c r="K93" i="1"/>
  <c r="U93" i="1" s="1"/>
  <c r="L93" i="1"/>
  <c r="L93" i="2" l="1"/>
  <c r="T93" i="2" s="1"/>
  <c r="Q93" i="2" s="1"/>
  <c r="M93" i="3"/>
  <c r="E94" i="2"/>
  <c r="O94" i="2" s="1"/>
  <c r="K93" i="3"/>
  <c r="T93" i="3" s="1"/>
  <c r="L93" i="3"/>
  <c r="T93" i="1"/>
  <c r="V93" i="1"/>
  <c r="W93" i="1" s="1"/>
  <c r="M93" i="2"/>
  <c r="E94" i="1"/>
  <c r="O94" i="1" s="1"/>
  <c r="K93" i="2"/>
  <c r="U93" i="2" s="1"/>
  <c r="N93" i="1"/>
  <c r="Y93" i="1"/>
  <c r="R93" i="2" l="1"/>
  <c r="F94" i="2"/>
  <c r="G94" i="2" s="1"/>
  <c r="H94" i="2" s="1"/>
  <c r="B95" i="3" s="1"/>
  <c r="Q93" i="1"/>
  <c r="R93" i="1" s="1"/>
  <c r="P96" i="1"/>
  <c r="N96" i="2" s="1"/>
  <c r="Y95" i="2"/>
  <c r="F94" i="1"/>
  <c r="F94" i="3"/>
  <c r="S93" i="3"/>
  <c r="P96" i="2"/>
  <c r="N96" i="3" s="1"/>
  <c r="X95" i="3"/>
  <c r="P93" i="3" l="1"/>
  <c r="Q93" i="3" s="1"/>
  <c r="I94" i="2"/>
  <c r="J94" i="2" s="1"/>
  <c r="I94" i="1"/>
  <c r="G94" i="1"/>
  <c r="H94" i="1" s="1"/>
  <c r="B95" i="2" s="1"/>
  <c r="C96" i="3"/>
  <c r="D96" i="3" s="1"/>
  <c r="I94" i="3"/>
  <c r="G94" i="3"/>
  <c r="H94" i="3" s="1"/>
  <c r="E96" i="3" l="1"/>
  <c r="O94" i="3"/>
  <c r="L94" i="2"/>
  <c r="T94" i="2" s="1"/>
  <c r="S94" i="2"/>
  <c r="X94" i="2" s="1"/>
  <c r="J94" i="3"/>
  <c r="R94" i="3" s="1"/>
  <c r="W94" i="3" s="1"/>
  <c r="E95" i="1"/>
  <c r="O95" i="1" s="1"/>
  <c r="M94" i="2"/>
  <c r="K94" i="2"/>
  <c r="U94" i="2" s="1"/>
  <c r="C96" i="2"/>
  <c r="D96" i="2" s="1"/>
  <c r="J94" i="1"/>
  <c r="L94" i="1" s="1"/>
  <c r="Q94" i="2" l="1"/>
  <c r="R94" i="2" s="1"/>
  <c r="F95" i="1"/>
  <c r="T94" i="1"/>
  <c r="V94" i="1"/>
  <c r="W94" i="1" s="1"/>
  <c r="E95" i="2"/>
  <c r="M94" i="3"/>
  <c r="K94" i="3"/>
  <c r="T94" i="3" s="1"/>
  <c r="Y96" i="2"/>
  <c r="P97" i="1"/>
  <c r="N97" i="2" s="1"/>
  <c r="S94" i="1"/>
  <c r="X94" i="1" s="1"/>
  <c r="K94" i="1"/>
  <c r="U94" i="1" s="1"/>
  <c r="M94" i="1"/>
  <c r="L94" i="3"/>
  <c r="O95" i="2" l="1"/>
  <c r="F95" i="2"/>
  <c r="Y94" i="1"/>
  <c r="N94" i="1"/>
  <c r="Q94" i="1" s="1"/>
  <c r="R94" i="1" s="1"/>
  <c r="F95" i="3"/>
  <c r="S94" i="3"/>
  <c r="X96" i="3"/>
  <c r="G95" i="1"/>
  <c r="H95" i="1" s="1"/>
  <c r="B96" i="2" s="1"/>
  <c r="I95" i="1"/>
  <c r="P94" i="3" l="1"/>
  <c r="Q94" i="3" s="1"/>
  <c r="C97" i="2"/>
  <c r="D97" i="2" s="1"/>
  <c r="G95" i="2"/>
  <c r="H95" i="2" s="1"/>
  <c r="B96" i="3" s="1"/>
  <c r="I95" i="2"/>
  <c r="G95" i="3"/>
  <c r="H95" i="3" s="1"/>
  <c r="I95" i="3"/>
  <c r="J95" i="1"/>
  <c r="P97" i="2"/>
  <c r="N97" i="3" s="1"/>
  <c r="E97" i="3" l="1"/>
  <c r="O95" i="3"/>
  <c r="K95" i="1"/>
  <c r="U95" i="1" s="1"/>
  <c r="M95" i="1"/>
  <c r="S95" i="1"/>
  <c r="X95" i="1" s="1"/>
  <c r="C97" i="3"/>
  <c r="D97" i="3" s="1"/>
  <c r="J95" i="2"/>
  <c r="S95" i="2" s="1"/>
  <c r="X95" i="2" s="1"/>
  <c r="L95" i="1"/>
  <c r="J95" i="3"/>
  <c r="L95" i="3" l="1"/>
  <c r="F96" i="3" s="1"/>
  <c r="R95" i="3"/>
  <c r="W95" i="3" s="1"/>
  <c r="T95" i="1"/>
  <c r="V95" i="1"/>
  <c r="W95" i="1" s="1"/>
  <c r="E96" i="2"/>
  <c r="O96" i="2" s="1"/>
  <c r="M95" i="3"/>
  <c r="K95" i="3"/>
  <c r="T95" i="3" s="1"/>
  <c r="N95" i="1"/>
  <c r="Y95" i="1"/>
  <c r="E96" i="1"/>
  <c r="O96" i="1" s="1"/>
  <c r="M95" i="2"/>
  <c r="K95" i="2"/>
  <c r="U95" i="2" s="1"/>
  <c r="L95" i="2"/>
  <c r="S95" i="3" l="1"/>
  <c r="P95" i="3" s="1"/>
  <c r="Q95" i="3" s="1"/>
  <c r="Q95" i="1"/>
  <c r="R95" i="1" s="1"/>
  <c r="T95" i="2"/>
  <c r="F96" i="2"/>
  <c r="Y97" i="2"/>
  <c r="F96" i="1"/>
  <c r="X97" i="3"/>
  <c r="P98" i="2"/>
  <c r="N98" i="3" s="1"/>
  <c r="P98" i="1"/>
  <c r="N98" i="2" s="1"/>
  <c r="G96" i="3"/>
  <c r="H96" i="3" s="1"/>
  <c r="I96" i="3"/>
  <c r="E98" i="3" l="1"/>
  <c r="O96" i="3"/>
  <c r="Q95" i="2"/>
  <c r="R95" i="2" s="1"/>
  <c r="I96" i="2"/>
  <c r="G96" i="2"/>
  <c r="H96" i="2" s="1"/>
  <c r="B97" i="3" s="1"/>
  <c r="J96" i="3"/>
  <c r="G96" i="1"/>
  <c r="H96" i="1" s="1"/>
  <c r="B97" i="2" s="1"/>
  <c r="I96" i="1"/>
  <c r="L96" i="3" l="1"/>
  <c r="F97" i="3" s="1"/>
  <c r="R96" i="3"/>
  <c r="W96" i="3" s="1"/>
  <c r="C98" i="2"/>
  <c r="D98" i="2" s="1"/>
  <c r="J96" i="1"/>
  <c r="M96" i="3"/>
  <c r="E97" i="2"/>
  <c r="O97" i="2" s="1"/>
  <c r="K96" i="3"/>
  <c r="T96" i="3" s="1"/>
  <c r="C98" i="3"/>
  <c r="D98" i="3" s="1"/>
  <c r="J96" i="2"/>
  <c r="S96" i="2" s="1"/>
  <c r="X96" i="2" s="1"/>
  <c r="S96" i="3" l="1"/>
  <c r="P96" i="3" s="1"/>
  <c r="Q96" i="3" s="1"/>
  <c r="L96" i="2"/>
  <c r="T96" i="2" s="1"/>
  <c r="Q96" i="2" s="1"/>
  <c r="I97" i="3"/>
  <c r="G97" i="3"/>
  <c r="H97" i="3" s="1"/>
  <c r="E97" i="1"/>
  <c r="O97" i="1" s="1"/>
  <c r="M96" i="2"/>
  <c r="K96" i="2"/>
  <c r="U96" i="2" s="1"/>
  <c r="S96" i="1"/>
  <c r="X96" i="1" s="1"/>
  <c r="M96" i="1"/>
  <c r="K96" i="1"/>
  <c r="U96" i="1" s="1"/>
  <c r="L96" i="1"/>
  <c r="P99" i="2"/>
  <c r="N99" i="3" s="1"/>
  <c r="X98" i="3"/>
  <c r="E99" i="3" l="1"/>
  <c r="O97" i="3"/>
  <c r="F97" i="2"/>
  <c r="I97" i="2" s="1"/>
  <c r="R96" i="2"/>
  <c r="Y98" i="2"/>
  <c r="P99" i="1"/>
  <c r="N99" i="2" s="1"/>
  <c r="Y96" i="1"/>
  <c r="N96" i="1"/>
  <c r="F97" i="1"/>
  <c r="V96" i="1"/>
  <c r="W96" i="1" s="1"/>
  <c r="T96" i="1"/>
  <c r="J97" i="3"/>
  <c r="R97" i="3" s="1"/>
  <c r="W97" i="3" s="1"/>
  <c r="G97" i="2" l="1"/>
  <c r="H97" i="2" s="1"/>
  <c r="B98" i="3" s="1"/>
  <c r="C99" i="3" s="1"/>
  <c r="D99" i="3" s="1"/>
  <c r="G97" i="1"/>
  <c r="H97" i="1" s="1"/>
  <c r="B98" i="2" s="1"/>
  <c r="I97" i="1"/>
  <c r="Q96" i="1"/>
  <c r="R96" i="1" s="1"/>
  <c r="M97" i="3"/>
  <c r="E98" i="2"/>
  <c r="O98" i="2" s="1"/>
  <c r="K97" i="3"/>
  <c r="T97" i="3" s="1"/>
  <c r="L97" i="3"/>
  <c r="J97" i="2"/>
  <c r="S97" i="2" s="1"/>
  <c r="X97" i="2" s="1"/>
  <c r="P100" i="2" l="1"/>
  <c r="N100" i="3" s="1"/>
  <c r="X99" i="3"/>
  <c r="M97" i="2"/>
  <c r="E98" i="1"/>
  <c r="O98" i="1" s="1"/>
  <c r="K97" i="2"/>
  <c r="U97" i="2" s="1"/>
  <c r="J97" i="1"/>
  <c r="L97" i="1" s="1"/>
  <c r="C99" i="2"/>
  <c r="D99" i="2" s="1"/>
  <c r="L97" i="2"/>
  <c r="S97" i="3"/>
  <c r="F98" i="3"/>
  <c r="P97" i="3" l="1"/>
  <c r="Q97" i="3" s="1"/>
  <c r="F98" i="1"/>
  <c r="T97" i="1"/>
  <c r="V97" i="1"/>
  <c r="W97" i="1" s="1"/>
  <c r="S97" i="1"/>
  <c r="X97" i="1" s="1"/>
  <c r="M97" i="1"/>
  <c r="K97" i="1"/>
  <c r="U97" i="1" s="1"/>
  <c r="I98" i="3"/>
  <c r="G98" i="3"/>
  <c r="H98" i="3" s="1"/>
  <c r="F98" i="2"/>
  <c r="T97" i="2"/>
  <c r="P100" i="1"/>
  <c r="N100" i="2" s="1"/>
  <c r="Y99" i="2"/>
  <c r="E100" i="3" l="1"/>
  <c r="O98" i="3"/>
  <c r="Q97" i="2"/>
  <c r="R97" i="2" s="1"/>
  <c r="I98" i="2"/>
  <c r="G98" i="2"/>
  <c r="H98" i="2" s="1"/>
  <c r="B99" i="3" s="1"/>
  <c r="G98" i="1"/>
  <c r="H98" i="1" s="1"/>
  <c r="B99" i="2" s="1"/>
  <c r="I98" i="1"/>
  <c r="Y97" i="1"/>
  <c r="N97" i="1"/>
  <c r="Q97" i="1" s="1"/>
  <c r="R97" i="1" s="1"/>
  <c r="J98" i="3"/>
  <c r="R98" i="3" s="1"/>
  <c r="W98" i="3" s="1"/>
  <c r="C100" i="2" l="1"/>
  <c r="D100" i="2" s="1"/>
  <c r="E99" i="2"/>
  <c r="O99" i="2" s="1"/>
  <c r="M98" i="3"/>
  <c r="K98" i="3"/>
  <c r="T98" i="3" s="1"/>
  <c r="J98" i="1"/>
  <c r="L98" i="1" s="1"/>
  <c r="C100" i="3"/>
  <c r="D100" i="3" s="1"/>
  <c r="L98" i="3"/>
  <c r="J98" i="2"/>
  <c r="S98" i="2" s="1"/>
  <c r="X98" i="2" s="1"/>
  <c r="T98" i="1" l="1"/>
  <c r="V98" i="1"/>
  <c r="W98" i="1" s="1"/>
  <c r="P101" i="2"/>
  <c r="N101" i="3" s="1"/>
  <c r="E99" i="1"/>
  <c r="O99" i="1" s="1"/>
  <c r="M98" i="2"/>
  <c r="K98" i="2"/>
  <c r="U98" i="2" s="1"/>
  <c r="L98" i="2"/>
  <c r="S98" i="3"/>
  <c r="F99" i="3"/>
  <c r="X100" i="3"/>
  <c r="M98" i="1"/>
  <c r="K98" i="1"/>
  <c r="U98" i="1" s="1"/>
  <c r="S98" i="1"/>
  <c r="X98" i="1" s="1"/>
  <c r="P98" i="3" l="1"/>
  <c r="Q98" i="3" s="1"/>
  <c r="P101" i="1"/>
  <c r="N101" i="2" s="1"/>
  <c r="T98" i="2"/>
  <c r="F99" i="2"/>
  <c r="G99" i="3"/>
  <c r="H99" i="3" s="1"/>
  <c r="I99" i="3"/>
  <c r="F99" i="1"/>
  <c r="N98" i="1"/>
  <c r="Q98" i="1" s="1"/>
  <c r="R98" i="1" s="1"/>
  <c r="Y98" i="1"/>
  <c r="Y100" i="2"/>
  <c r="E101" i="3" l="1"/>
  <c r="O99" i="3"/>
  <c r="Q98" i="2"/>
  <c r="R98" i="2" s="1"/>
  <c r="I99" i="2"/>
  <c r="G99" i="2"/>
  <c r="H99" i="2" s="1"/>
  <c r="B100" i="3" s="1"/>
  <c r="G99" i="1"/>
  <c r="H99" i="1" s="1"/>
  <c r="B100" i="2" s="1"/>
  <c r="I99" i="1"/>
  <c r="J99" i="3"/>
  <c r="L99" i="3" l="1"/>
  <c r="S99" i="3" s="1"/>
  <c r="R99" i="3"/>
  <c r="W99" i="3" s="1"/>
  <c r="J99" i="1"/>
  <c r="C101" i="2"/>
  <c r="D101" i="2" s="1"/>
  <c r="C101" i="3"/>
  <c r="D101" i="3" s="1"/>
  <c r="M99" i="3"/>
  <c r="E100" i="2"/>
  <c r="O100" i="2" s="1"/>
  <c r="K99" i="3"/>
  <c r="T99" i="3" s="1"/>
  <c r="J99" i="2"/>
  <c r="P99" i="3" l="1"/>
  <c r="Q99" i="3" s="1"/>
  <c r="F100" i="3"/>
  <c r="I100" i="3" s="1"/>
  <c r="L99" i="2"/>
  <c r="F100" i="2" s="1"/>
  <c r="S99" i="2"/>
  <c r="X99" i="2" s="1"/>
  <c r="X101" i="3"/>
  <c r="P102" i="2"/>
  <c r="N102" i="3" s="1"/>
  <c r="K99" i="1"/>
  <c r="U99" i="1" s="1"/>
  <c r="M99" i="1"/>
  <c r="S99" i="1"/>
  <c r="X99" i="1" s="1"/>
  <c r="E100" i="1"/>
  <c r="O100" i="1" s="1"/>
  <c r="M99" i="2"/>
  <c r="K99" i="2"/>
  <c r="U99" i="2" s="1"/>
  <c r="L99" i="1"/>
  <c r="G100" i="3" l="1"/>
  <c r="H100" i="3" s="1"/>
  <c r="T99" i="2"/>
  <c r="P102" i="1"/>
  <c r="N102" i="2" s="1"/>
  <c r="Y101" i="2"/>
  <c r="N99" i="1"/>
  <c r="Y99" i="1"/>
  <c r="I100" i="2"/>
  <c r="G100" i="2"/>
  <c r="H100" i="2" s="1"/>
  <c r="B101" i="3" s="1"/>
  <c r="T99" i="1"/>
  <c r="F100" i="1"/>
  <c r="V99" i="1"/>
  <c r="W99" i="1" s="1"/>
  <c r="J100" i="3"/>
  <c r="R100" i="3" s="1"/>
  <c r="E102" i="3" l="1"/>
  <c r="O100" i="3"/>
  <c r="W100" i="3" s="1"/>
  <c r="Q99" i="2"/>
  <c r="R99" i="2" s="1"/>
  <c r="Q99" i="1"/>
  <c r="R99" i="1" s="1"/>
  <c r="J100" i="2"/>
  <c r="S100" i="2" s="1"/>
  <c r="X100" i="2" s="1"/>
  <c r="M100" i="3"/>
  <c r="E101" i="2"/>
  <c r="O101" i="2" s="1"/>
  <c r="K100" i="3"/>
  <c r="T100" i="3" s="1"/>
  <c r="L100" i="3"/>
  <c r="G100" i="1"/>
  <c r="H100" i="1" s="1"/>
  <c r="B101" i="2" s="1"/>
  <c r="I100" i="1"/>
  <c r="C102" i="3"/>
  <c r="D102" i="3" s="1"/>
  <c r="C102" i="2" l="1"/>
  <c r="D102" i="2" s="1"/>
  <c r="P103" i="2"/>
  <c r="N103" i="3" s="1"/>
  <c r="J100" i="1"/>
  <c r="L100" i="1" s="1"/>
  <c r="F101" i="3"/>
  <c r="S100" i="3"/>
  <c r="X102" i="3"/>
  <c r="M100" i="2"/>
  <c r="E101" i="1"/>
  <c r="O101" i="1" s="1"/>
  <c r="K100" i="2"/>
  <c r="U100" i="2" s="1"/>
  <c r="L100" i="2"/>
  <c r="P100" i="3" l="1"/>
  <c r="Q100" i="3" s="1"/>
  <c r="T100" i="1"/>
  <c r="F101" i="1"/>
  <c r="V100" i="1"/>
  <c r="W100" i="1" s="1"/>
  <c r="Y102" i="2"/>
  <c r="P103" i="1"/>
  <c r="N103" i="2" s="1"/>
  <c r="S100" i="1"/>
  <c r="X100" i="1" s="1"/>
  <c r="K100" i="1"/>
  <c r="U100" i="1" s="1"/>
  <c r="M100" i="1"/>
  <c r="F101" i="2"/>
  <c r="T100" i="2"/>
  <c r="I101" i="3"/>
  <c r="G101" i="3"/>
  <c r="H101" i="3" s="1"/>
  <c r="E103" i="3" l="1"/>
  <c r="O101" i="3"/>
  <c r="Q100" i="2"/>
  <c r="R100" i="2" s="1"/>
  <c r="I101" i="2"/>
  <c r="G101" i="2"/>
  <c r="H101" i="2" s="1"/>
  <c r="B102" i="3" s="1"/>
  <c r="N100" i="1"/>
  <c r="Q100" i="1" s="1"/>
  <c r="R100" i="1" s="1"/>
  <c r="Y100" i="1"/>
  <c r="I101" i="1"/>
  <c r="G101" i="1"/>
  <c r="H101" i="1" s="1"/>
  <c r="B102" i="2" s="1"/>
  <c r="J101" i="3"/>
  <c r="R101" i="3" s="1"/>
  <c r="W101" i="3" l="1"/>
  <c r="M101" i="3"/>
  <c r="E102" i="2"/>
  <c r="O102" i="2" s="1"/>
  <c r="K101" i="3"/>
  <c r="T101" i="3" s="1"/>
  <c r="C103" i="2"/>
  <c r="D103" i="2" s="1"/>
  <c r="J101" i="1"/>
  <c r="C103" i="3"/>
  <c r="D103" i="3" s="1"/>
  <c r="L101" i="3"/>
  <c r="J101" i="2"/>
  <c r="S101" i="2" s="1"/>
  <c r="X101" i="2" s="1"/>
  <c r="M101" i="1" l="1"/>
  <c r="S101" i="1"/>
  <c r="X101" i="1" s="1"/>
  <c r="K101" i="1"/>
  <c r="U101" i="1" s="1"/>
  <c r="P104" i="2"/>
  <c r="N104" i="3" s="1"/>
  <c r="E102" i="1"/>
  <c r="O102" i="1" s="1"/>
  <c r="M101" i="2"/>
  <c r="K101" i="2"/>
  <c r="U101" i="2" s="1"/>
  <c r="L101" i="2"/>
  <c r="S101" i="3"/>
  <c r="F102" i="3"/>
  <c r="X103" i="3"/>
  <c r="L101" i="1"/>
  <c r="P101" i="3" l="1"/>
  <c r="Q101" i="3" s="1"/>
  <c r="G102" i="3"/>
  <c r="H102" i="3" s="1"/>
  <c r="I102" i="3"/>
  <c r="P104" i="1"/>
  <c r="N104" i="2" s="1"/>
  <c r="T101" i="2"/>
  <c r="F102" i="2"/>
  <c r="V101" i="1"/>
  <c r="W101" i="1" s="1"/>
  <c r="F102" i="1"/>
  <c r="T101" i="1"/>
  <c r="Y103" i="2"/>
  <c r="N101" i="1"/>
  <c r="Y101" i="1"/>
  <c r="E104" i="3" l="1"/>
  <c r="O102" i="3"/>
  <c r="Q101" i="2"/>
  <c r="R101" i="2" s="1"/>
  <c r="Q101" i="1"/>
  <c r="R101" i="1" s="1"/>
  <c r="G102" i="1"/>
  <c r="H102" i="1" s="1"/>
  <c r="B103" i="2" s="1"/>
  <c r="I102" i="1"/>
  <c r="J102" i="3"/>
  <c r="R102" i="3" s="1"/>
  <c r="I102" i="2"/>
  <c r="G102" i="2"/>
  <c r="H102" i="2" s="1"/>
  <c r="B103" i="3" s="1"/>
  <c r="W102" i="3" l="1"/>
  <c r="M102" i="3"/>
  <c r="E103" i="2"/>
  <c r="O103" i="2" s="1"/>
  <c r="K102" i="3"/>
  <c r="T102" i="3" s="1"/>
  <c r="J102" i="2"/>
  <c r="L102" i="3"/>
  <c r="J102" i="1"/>
  <c r="L102" i="1" s="1"/>
  <c r="C104" i="2"/>
  <c r="D104" i="2" s="1"/>
  <c r="C104" i="3"/>
  <c r="D104" i="3" s="1"/>
  <c r="L102" i="2" l="1"/>
  <c r="F103" i="2" s="1"/>
  <c r="S102" i="2"/>
  <c r="X102" i="2" s="1"/>
  <c r="V102" i="1"/>
  <c r="W102" i="1" s="1"/>
  <c r="T102" i="1"/>
  <c r="M102" i="1"/>
  <c r="S102" i="1"/>
  <c r="X102" i="1" s="1"/>
  <c r="K102" i="1"/>
  <c r="U102" i="1" s="1"/>
  <c r="S102" i="3"/>
  <c r="F103" i="3"/>
  <c r="E103" i="1"/>
  <c r="O103" i="1" s="1"/>
  <c r="M102" i="2"/>
  <c r="K102" i="2"/>
  <c r="U102" i="2" s="1"/>
  <c r="P105" i="2"/>
  <c r="X104" i="3"/>
  <c r="C12" i="5" l="1"/>
  <c r="N105" i="3"/>
  <c r="P102" i="3"/>
  <c r="Q102" i="3" s="1"/>
  <c r="T102" i="2"/>
  <c r="Y104" i="2"/>
  <c r="P105" i="1"/>
  <c r="Y102" i="1"/>
  <c r="N102" i="1"/>
  <c r="Q102" i="1" s="1"/>
  <c r="R102" i="1" s="1"/>
  <c r="F103" i="1"/>
  <c r="I103" i="2"/>
  <c r="G103" i="2"/>
  <c r="H103" i="2" s="1"/>
  <c r="B104" i="3" s="1"/>
  <c r="I103" i="3"/>
  <c r="G103" i="3"/>
  <c r="H103" i="3" s="1"/>
  <c r="D12" i="5" l="1"/>
  <c r="N105" i="2"/>
  <c r="E105" i="3"/>
  <c r="O103" i="3"/>
  <c r="Q102" i="2"/>
  <c r="R102" i="2" s="1"/>
  <c r="J103" i="3"/>
  <c r="C105" i="3"/>
  <c r="D105" i="3" s="1"/>
  <c r="J103" i="2"/>
  <c r="S103" i="2" s="1"/>
  <c r="X103" i="2" s="1"/>
  <c r="I103" i="1"/>
  <c r="G103" i="1"/>
  <c r="H103" i="1" s="1"/>
  <c r="B104" i="2" s="1"/>
  <c r="L103" i="3" l="1"/>
  <c r="F104" i="3" s="1"/>
  <c r="R103" i="3"/>
  <c r="W103" i="3" s="1"/>
  <c r="C105" i="2"/>
  <c r="D105" i="2" s="1"/>
  <c r="E104" i="1"/>
  <c r="O104" i="1" s="1"/>
  <c r="M103" i="2"/>
  <c r="K103" i="2"/>
  <c r="U103" i="2" s="1"/>
  <c r="E104" i="2"/>
  <c r="O104" i="2" s="1"/>
  <c r="M103" i="3"/>
  <c r="K103" i="3"/>
  <c r="T103" i="3" s="1"/>
  <c r="J103" i="1"/>
  <c r="L103" i="2"/>
  <c r="S103" i="3" l="1"/>
  <c r="P103" i="3" s="1"/>
  <c r="Q103" i="3" s="1"/>
  <c r="F104" i="2"/>
  <c r="T103" i="2"/>
  <c r="M103" i="1"/>
  <c r="S103" i="1"/>
  <c r="X103" i="1" s="1"/>
  <c r="K103" i="1"/>
  <c r="U103" i="1" s="1"/>
  <c r="L103" i="1"/>
  <c r="Y105" i="2"/>
  <c r="C15" i="5" s="1"/>
  <c r="X105" i="3"/>
  <c r="B15" i="5" s="1"/>
  <c r="I104" i="3"/>
  <c r="G104" i="3"/>
  <c r="H104" i="3" s="1"/>
  <c r="O104" i="3" s="1"/>
  <c r="Q103" i="2" l="1"/>
  <c r="R103" i="2" s="1"/>
  <c r="Y103" i="1"/>
  <c r="N103" i="1"/>
  <c r="I104" i="2"/>
  <c r="G104" i="2"/>
  <c r="H104" i="2" s="1"/>
  <c r="B105" i="3" s="1"/>
  <c r="B2" i="5" s="1"/>
  <c r="T103" i="1"/>
  <c r="F104" i="1"/>
  <c r="V103" i="1"/>
  <c r="W103" i="1" s="1"/>
  <c r="J104" i="3"/>
  <c r="L104" i="3" l="1"/>
  <c r="F105" i="3" s="1"/>
  <c r="R104" i="3"/>
  <c r="W104" i="3" s="1"/>
  <c r="B108" i="3"/>
  <c r="B111" i="3"/>
  <c r="J104" i="2"/>
  <c r="S104" i="2" s="1"/>
  <c r="X104" i="2" s="1"/>
  <c r="Q103" i="1"/>
  <c r="R103" i="1" s="1"/>
  <c r="E105" i="2"/>
  <c r="O105" i="2" s="1"/>
  <c r="C11" i="5" s="1"/>
  <c r="M104" i="3"/>
  <c r="K104" i="3"/>
  <c r="T104" i="3" s="1"/>
  <c r="G104" i="1"/>
  <c r="H104" i="1" s="1"/>
  <c r="B105" i="2" s="1"/>
  <c r="C2" i="5" s="1"/>
  <c r="I104" i="1"/>
  <c r="S104" i="3" l="1"/>
  <c r="P104" i="3" s="1"/>
  <c r="Q104" i="3" s="1"/>
  <c r="U104" i="3"/>
  <c r="V104" i="3" s="1"/>
  <c r="U3" i="3"/>
  <c r="V3" i="3" s="1"/>
  <c r="U2" i="3"/>
  <c r="V2" i="3" s="1"/>
  <c r="U4" i="3"/>
  <c r="V4" i="3" s="1"/>
  <c r="U5" i="3"/>
  <c r="V5" i="3" s="1"/>
  <c r="U6" i="3"/>
  <c r="V6" i="3" s="1"/>
  <c r="U7" i="3"/>
  <c r="V7" i="3" s="1"/>
  <c r="U8" i="3"/>
  <c r="V8" i="3" s="1"/>
  <c r="U9" i="3"/>
  <c r="V9" i="3" s="1"/>
  <c r="U10" i="3"/>
  <c r="V10" i="3" s="1"/>
  <c r="U11" i="3"/>
  <c r="V11" i="3" s="1"/>
  <c r="U12" i="3"/>
  <c r="V12" i="3" s="1"/>
  <c r="U13" i="3"/>
  <c r="V13" i="3" s="1"/>
  <c r="U14" i="3"/>
  <c r="V14" i="3" s="1"/>
  <c r="U15" i="3"/>
  <c r="V15" i="3" s="1"/>
  <c r="U16" i="3"/>
  <c r="V16" i="3" s="1"/>
  <c r="U17" i="3"/>
  <c r="V17" i="3" s="1"/>
  <c r="U18" i="3"/>
  <c r="V18" i="3" s="1"/>
  <c r="U19" i="3"/>
  <c r="V19" i="3" s="1"/>
  <c r="U20" i="3"/>
  <c r="V20" i="3" s="1"/>
  <c r="U21" i="3"/>
  <c r="V21" i="3" s="1"/>
  <c r="U22" i="3"/>
  <c r="V22" i="3" s="1"/>
  <c r="U23" i="3"/>
  <c r="V23" i="3" s="1"/>
  <c r="U24" i="3"/>
  <c r="V24" i="3" s="1"/>
  <c r="U25" i="3"/>
  <c r="V25" i="3" s="1"/>
  <c r="U26" i="3"/>
  <c r="V26" i="3" s="1"/>
  <c r="U27" i="3"/>
  <c r="V27" i="3" s="1"/>
  <c r="U28" i="3"/>
  <c r="V28" i="3" s="1"/>
  <c r="U29" i="3"/>
  <c r="V29" i="3" s="1"/>
  <c r="U30" i="3"/>
  <c r="V30" i="3" s="1"/>
  <c r="U31" i="3"/>
  <c r="V31" i="3" s="1"/>
  <c r="U32" i="3"/>
  <c r="V32" i="3" s="1"/>
  <c r="U33" i="3"/>
  <c r="V33" i="3" s="1"/>
  <c r="U34" i="3"/>
  <c r="V34" i="3" s="1"/>
  <c r="U35" i="3"/>
  <c r="V35" i="3" s="1"/>
  <c r="U36" i="3"/>
  <c r="V36" i="3" s="1"/>
  <c r="U37" i="3"/>
  <c r="V37" i="3" s="1"/>
  <c r="U38" i="3"/>
  <c r="V38" i="3" s="1"/>
  <c r="U39" i="3"/>
  <c r="V39" i="3" s="1"/>
  <c r="U40" i="3"/>
  <c r="V40" i="3" s="1"/>
  <c r="U41" i="3"/>
  <c r="V41" i="3" s="1"/>
  <c r="U42" i="3"/>
  <c r="V42" i="3" s="1"/>
  <c r="U43" i="3"/>
  <c r="V43" i="3" s="1"/>
  <c r="U44" i="3"/>
  <c r="V44" i="3" s="1"/>
  <c r="U45" i="3"/>
  <c r="V45" i="3" s="1"/>
  <c r="U46" i="3"/>
  <c r="V46" i="3" s="1"/>
  <c r="U47" i="3"/>
  <c r="V47" i="3" s="1"/>
  <c r="U48" i="3"/>
  <c r="V48" i="3" s="1"/>
  <c r="U49" i="3"/>
  <c r="V49" i="3" s="1"/>
  <c r="U50" i="3"/>
  <c r="V50" i="3" s="1"/>
  <c r="U51" i="3"/>
  <c r="V51" i="3" s="1"/>
  <c r="U52" i="3"/>
  <c r="V52" i="3" s="1"/>
  <c r="U53" i="3"/>
  <c r="V53" i="3" s="1"/>
  <c r="U54" i="3"/>
  <c r="V54" i="3" s="1"/>
  <c r="U55" i="3"/>
  <c r="V55" i="3" s="1"/>
  <c r="U56" i="3"/>
  <c r="V56" i="3" s="1"/>
  <c r="U57" i="3"/>
  <c r="V57" i="3" s="1"/>
  <c r="U58" i="3"/>
  <c r="V58" i="3" s="1"/>
  <c r="U59" i="3"/>
  <c r="V59" i="3" s="1"/>
  <c r="U60" i="3"/>
  <c r="V60" i="3" s="1"/>
  <c r="U61" i="3"/>
  <c r="V61" i="3" s="1"/>
  <c r="U62" i="3"/>
  <c r="V62" i="3" s="1"/>
  <c r="U63" i="3"/>
  <c r="V63" i="3" s="1"/>
  <c r="U64" i="3"/>
  <c r="V64" i="3" s="1"/>
  <c r="U65" i="3"/>
  <c r="V65" i="3" s="1"/>
  <c r="U66" i="3"/>
  <c r="V66" i="3" s="1"/>
  <c r="U67" i="3"/>
  <c r="V67" i="3" s="1"/>
  <c r="U68" i="3"/>
  <c r="V68" i="3" s="1"/>
  <c r="U69" i="3"/>
  <c r="V69" i="3" s="1"/>
  <c r="U70" i="3"/>
  <c r="V70" i="3" s="1"/>
  <c r="U71" i="3"/>
  <c r="V71" i="3" s="1"/>
  <c r="U72" i="3"/>
  <c r="V72" i="3" s="1"/>
  <c r="U73" i="3"/>
  <c r="V73" i="3" s="1"/>
  <c r="U74" i="3"/>
  <c r="V74" i="3" s="1"/>
  <c r="U75" i="3"/>
  <c r="V75" i="3" s="1"/>
  <c r="U76" i="3"/>
  <c r="V76" i="3" s="1"/>
  <c r="U77" i="3"/>
  <c r="V77" i="3" s="1"/>
  <c r="U78" i="3"/>
  <c r="V78" i="3" s="1"/>
  <c r="U79" i="3"/>
  <c r="V79" i="3" s="1"/>
  <c r="U80" i="3"/>
  <c r="V80" i="3" s="1"/>
  <c r="U81" i="3"/>
  <c r="V81" i="3" s="1"/>
  <c r="U82" i="3"/>
  <c r="V82" i="3" s="1"/>
  <c r="U83" i="3"/>
  <c r="V83" i="3" s="1"/>
  <c r="U84" i="3"/>
  <c r="V84" i="3" s="1"/>
  <c r="U85" i="3"/>
  <c r="V85" i="3" s="1"/>
  <c r="U86" i="3"/>
  <c r="V86" i="3" s="1"/>
  <c r="U87" i="3"/>
  <c r="V87" i="3" s="1"/>
  <c r="U88" i="3"/>
  <c r="V88" i="3" s="1"/>
  <c r="U89" i="3"/>
  <c r="V89" i="3" s="1"/>
  <c r="U90" i="3"/>
  <c r="V90" i="3" s="1"/>
  <c r="U91" i="3"/>
  <c r="V91" i="3" s="1"/>
  <c r="U92" i="3"/>
  <c r="V92" i="3" s="1"/>
  <c r="U93" i="3"/>
  <c r="V93" i="3" s="1"/>
  <c r="U94" i="3"/>
  <c r="V94" i="3" s="1"/>
  <c r="U95" i="3"/>
  <c r="V95" i="3" s="1"/>
  <c r="U96" i="3"/>
  <c r="V96" i="3" s="1"/>
  <c r="U97" i="3"/>
  <c r="V97" i="3" s="1"/>
  <c r="U98" i="3"/>
  <c r="V98" i="3" s="1"/>
  <c r="U99" i="3"/>
  <c r="V99" i="3" s="1"/>
  <c r="U100" i="3"/>
  <c r="V100" i="3" s="1"/>
  <c r="U101" i="3"/>
  <c r="V101" i="3" s="1"/>
  <c r="U102" i="3"/>
  <c r="V102" i="3" s="1"/>
  <c r="U103" i="3"/>
  <c r="V103" i="3" s="1"/>
  <c r="M104" i="2"/>
  <c r="E105" i="1"/>
  <c r="O105" i="1" s="1"/>
  <c r="D11" i="5" s="1"/>
  <c r="K104" i="2"/>
  <c r="U104" i="2" s="1"/>
  <c r="I105" i="3"/>
  <c r="G105" i="3"/>
  <c r="H105" i="3" s="1"/>
  <c r="L104" i="2"/>
  <c r="J104" i="1"/>
  <c r="L104" i="1" s="1"/>
  <c r="B108" i="2"/>
  <c r="B111" i="2"/>
  <c r="H111" i="3" l="1"/>
  <c r="O105" i="3"/>
  <c r="B11" i="5" s="1"/>
  <c r="V104" i="2"/>
  <c r="W104" i="2" s="1"/>
  <c r="T104" i="2"/>
  <c r="F105" i="2"/>
  <c r="J105" i="3"/>
  <c r="B3" i="5" s="1"/>
  <c r="V2" i="2"/>
  <c r="W2" i="2" s="1"/>
  <c r="V3" i="2"/>
  <c r="W3" i="2" s="1"/>
  <c r="V4" i="2"/>
  <c r="W4" i="2" s="1"/>
  <c r="V5" i="2"/>
  <c r="W5" i="2" s="1"/>
  <c r="V6" i="2"/>
  <c r="W6" i="2" s="1"/>
  <c r="V7" i="2"/>
  <c r="W7" i="2" s="1"/>
  <c r="V8" i="2"/>
  <c r="W8" i="2" s="1"/>
  <c r="V9" i="2"/>
  <c r="W9" i="2" s="1"/>
  <c r="V10" i="2"/>
  <c r="W10" i="2" s="1"/>
  <c r="V11" i="2"/>
  <c r="W11" i="2" s="1"/>
  <c r="V12" i="2"/>
  <c r="W12" i="2" s="1"/>
  <c r="V13" i="2"/>
  <c r="W13" i="2" s="1"/>
  <c r="V14" i="2"/>
  <c r="W14" i="2" s="1"/>
  <c r="V15" i="2"/>
  <c r="W15" i="2" s="1"/>
  <c r="V16" i="2"/>
  <c r="W16" i="2" s="1"/>
  <c r="V17" i="2"/>
  <c r="W17" i="2" s="1"/>
  <c r="V18" i="2"/>
  <c r="W18" i="2" s="1"/>
  <c r="V19" i="2"/>
  <c r="W19" i="2" s="1"/>
  <c r="V20" i="2"/>
  <c r="W20" i="2" s="1"/>
  <c r="V21" i="2"/>
  <c r="W21" i="2" s="1"/>
  <c r="V22" i="2"/>
  <c r="W22" i="2" s="1"/>
  <c r="V23" i="2"/>
  <c r="W23" i="2" s="1"/>
  <c r="V24" i="2"/>
  <c r="W24" i="2" s="1"/>
  <c r="V25" i="2"/>
  <c r="W25" i="2" s="1"/>
  <c r="V26" i="2"/>
  <c r="W26" i="2" s="1"/>
  <c r="V27" i="2"/>
  <c r="W27" i="2" s="1"/>
  <c r="V28" i="2"/>
  <c r="W28" i="2" s="1"/>
  <c r="V29" i="2"/>
  <c r="W29" i="2" s="1"/>
  <c r="V30" i="2"/>
  <c r="W30" i="2" s="1"/>
  <c r="V31" i="2"/>
  <c r="W31" i="2" s="1"/>
  <c r="V32" i="2"/>
  <c r="W32" i="2" s="1"/>
  <c r="V33" i="2"/>
  <c r="W33" i="2" s="1"/>
  <c r="V34" i="2"/>
  <c r="W34" i="2" s="1"/>
  <c r="V35" i="2"/>
  <c r="W35" i="2" s="1"/>
  <c r="V36" i="2"/>
  <c r="W36" i="2" s="1"/>
  <c r="V37" i="2"/>
  <c r="W37" i="2" s="1"/>
  <c r="V38" i="2"/>
  <c r="W38" i="2" s="1"/>
  <c r="V39" i="2"/>
  <c r="W39" i="2" s="1"/>
  <c r="V40" i="2"/>
  <c r="W40" i="2" s="1"/>
  <c r="V41" i="2"/>
  <c r="W41" i="2" s="1"/>
  <c r="V42" i="2"/>
  <c r="W42" i="2" s="1"/>
  <c r="V43" i="2"/>
  <c r="W43" i="2" s="1"/>
  <c r="V44" i="2"/>
  <c r="W44" i="2" s="1"/>
  <c r="V45" i="2"/>
  <c r="W45" i="2" s="1"/>
  <c r="V46" i="2"/>
  <c r="W46" i="2" s="1"/>
  <c r="V47" i="2"/>
  <c r="W47" i="2" s="1"/>
  <c r="V48" i="2"/>
  <c r="W48" i="2" s="1"/>
  <c r="V49" i="2"/>
  <c r="W49" i="2" s="1"/>
  <c r="V50" i="2"/>
  <c r="W50" i="2" s="1"/>
  <c r="V51" i="2"/>
  <c r="W51" i="2" s="1"/>
  <c r="V52" i="2"/>
  <c r="W52" i="2" s="1"/>
  <c r="V53" i="2"/>
  <c r="W53" i="2" s="1"/>
  <c r="V54" i="2"/>
  <c r="W54" i="2" s="1"/>
  <c r="V55" i="2"/>
  <c r="W55" i="2" s="1"/>
  <c r="V56" i="2"/>
  <c r="W56" i="2" s="1"/>
  <c r="V57" i="2"/>
  <c r="W57" i="2" s="1"/>
  <c r="V58" i="2"/>
  <c r="W58" i="2" s="1"/>
  <c r="V59" i="2"/>
  <c r="W59" i="2" s="1"/>
  <c r="V60" i="2"/>
  <c r="W60" i="2" s="1"/>
  <c r="V61" i="2"/>
  <c r="W61" i="2" s="1"/>
  <c r="V62" i="2"/>
  <c r="W62" i="2" s="1"/>
  <c r="V63" i="2"/>
  <c r="W63" i="2" s="1"/>
  <c r="V64" i="2"/>
  <c r="W64" i="2" s="1"/>
  <c r="V65" i="2"/>
  <c r="W65" i="2" s="1"/>
  <c r="V66" i="2"/>
  <c r="W66" i="2" s="1"/>
  <c r="V67" i="2"/>
  <c r="W67" i="2" s="1"/>
  <c r="V68" i="2"/>
  <c r="W68" i="2" s="1"/>
  <c r="V69" i="2"/>
  <c r="W69" i="2" s="1"/>
  <c r="V70" i="2"/>
  <c r="W70" i="2" s="1"/>
  <c r="V71" i="2"/>
  <c r="W71" i="2" s="1"/>
  <c r="V72" i="2"/>
  <c r="W72" i="2" s="1"/>
  <c r="V73" i="2"/>
  <c r="W73" i="2" s="1"/>
  <c r="V74" i="2"/>
  <c r="W74" i="2" s="1"/>
  <c r="V75" i="2"/>
  <c r="W75" i="2" s="1"/>
  <c r="V76" i="2"/>
  <c r="W76" i="2" s="1"/>
  <c r="V77" i="2"/>
  <c r="W77" i="2" s="1"/>
  <c r="V78" i="2"/>
  <c r="W78" i="2" s="1"/>
  <c r="V79" i="2"/>
  <c r="W79" i="2" s="1"/>
  <c r="V80" i="2"/>
  <c r="W80" i="2" s="1"/>
  <c r="V81" i="2"/>
  <c r="W81" i="2" s="1"/>
  <c r="V82" i="2"/>
  <c r="W82" i="2" s="1"/>
  <c r="V83" i="2"/>
  <c r="W83" i="2" s="1"/>
  <c r="V84" i="2"/>
  <c r="W84" i="2" s="1"/>
  <c r="V85" i="2"/>
  <c r="W85" i="2" s="1"/>
  <c r="V86" i="2"/>
  <c r="W86" i="2" s="1"/>
  <c r="V87" i="2"/>
  <c r="W87" i="2" s="1"/>
  <c r="V88" i="2"/>
  <c r="W88" i="2" s="1"/>
  <c r="V89" i="2"/>
  <c r="W89" i="2" s="1"/>
  <c r="V90" i="2"/>
  <c r="W90" i="2" s="1"/>
  <c r="V91" i="2"/>
  <c r="W91" i="2" s="1"/>
  <c r="V92" i="2"/>
  <c r="W92" i="2" s="1"/>
  <c r="V93" i="2"/>
  <c r="W93" i="2" s="1"/>
  <c r="V94" i="2"/>
  <c r="W94" i="2" s="1"/>
  <c r="V95" i="2"/>
  <c r="W95" i="2" s="1"/>
  <c r="V96" i="2"/>
  <c r="W96" i="2" s="1"/>
  <c r="V97" i="2"/>
  <c r="W97" i="2" s="1"/>
  <c r="V98" i="2"/>
  <c r="W98" i="2" s="1"/>
  <c r="V99" i="2"/>
  <c r="W99" i="2" s="1"/>
  <c r="V100" i="2"/>
  <c r="W100" i="2" s="1"/>
  <c r="V101" i="2"/>
  <c r="W101" i="2" s="1"/>
  <c r="V102" i="2"/>
  <c r="W102" i="2" s="1"/>
  <c r="V103" i="2"/>
  <c r="W103" i="2" s="1"/>
  <c r="F105" i="1"/>
  <c r="T104" i="1"/>
  <c r="V104" i="1"/>
  <c r="W104" i="1" s="1"/>
  <c r="M104" i="1"/>
  <c r="K104" i="1"/>
  <c r="U104" i="1" s="1"/>
  <c r="S104" i="1"/>
  <c r="X104" i="1" s="1"/>
  <c r="L105" i="3" l="1"/>
  <c r="R105" i="3"/>
  <c r="Q104" i="2"/>
  <c r="R104" i="2" s="1"/>
  <c r="M105" i="3"/>
  <c r="K105" i="3"/>
  <c r="G105" i="2"/>
  <c r="H105" i="2" s="1"/>
  <c r="H111" i="2" s="1"/>
  <c r="I105" i="2"/>
  <c r="G105" i="1"/>
  <c r="H105" i="1" s="1"/>
  <c r="H111" i="1" s="1"/>
  <c r="I105" i="1"/>
  <c r="Y104" i="1"/>
  <c r="N104" i="1"/>
  <c r="Q104" i="1" s="1"/>
  <c r="R104" i="1" s="1"/>
  <c r="T105" i="3" l="1"/>
  <c r="B10" i="5" s="1"/>
  <c r="B4" i="5"/>
  <c r="B5" i="5" s="1"/>
  <c r="W105" i="3"/>
  <c r="B13" i="5"/>
  <c r="U105" i="3"/>
  <c r="V105" i="3" s="1"/>
  <c r="B6" i="5"/>
  <c r="S105" i="3"/>
  <c r="J105" i="1"/>
  <c r="J105" i="2"/>
  <c r="B7" i="5" l="1"/>
  <c r="B8" i="5"/>
  <c r="B22" i="5" s="1"/>
  <c r="S105" i="2"/>
  <c r="C3" i="5"/>
  <c r="L105" i="1"/>
  <c r="D6" i="5" s="1"/>
  <c r="D8" i="5" s="1"/>
  <c r="D22" i="5" s="1"/>
  <c r="D3" i="5"/>
  <c r="P105" i="3"/>
  <c r="B9" i="5"/>
  <c r="B14" i="5" s="1"/>
  <c r="B16" i="5" s="1"/>
  <c r="M105" i="2"/>
  <c r="K105" i="2"/>
  <c r="L105" i="2"/>
  <c r="C6" i="5" s="1"/>
  <c r="V105" i="1"/>
  <c r="W105" i="1" s="1"/>
  <c r="T105" i="1"/>
  <c r="D9" i="5" s="1"/>
  <c r="S105" i="1"/>
  <c r="M105" i="1"/>
  <c r="K105" i="1"/>
  <c r="X105" i="1" l="1"/>
  <c r="D13" i="5"/>
  <c r="D14" i="5" s="1"/>
  <c r="U105" i="2"/>
  <c r="C10" i="5" s="1"/>
  <c r="C4" i="5"/>
  <c r="C5" i="5" s="1"/>
  <c r="U105" i="1"/>
  <c r="D10" i="5" s="1"/>
  <c r="D4" i="5"/>
  <c r="D5" i="5" s="1"/>
  <c r="Q105" i="3"/>
  <c r="B18" i="5" s="1"/>
  <c r="B19" i="5"/>
  <c r="B17" i="5"/>
  <c r="C7" i="5"/>
  <c r="C8" i="5"/>
  <c r="C22" i="5" s="1"/>
  <c r="D7" i="5"/>
  <c r="X105" i="2"/>
  <c r="C13" i="5"/>
  <c r="Y105" i="1"/>
  <c r="D15" i="5" s="1"/>
  <c r="D16" i="5" s="1"/>
  <c r="N105" i="1"/>
  <c r="Q105" i="1" s="1"/>
  <c r="T105" i="2"/>
  <c r="C9" i="5" s="1"/>
  <c r="V105" i="2"/>
  <c r="W105" i="2" s="1"/>
  <c r="R105" i="1" l="1"/>
  <c r="D18" i="5" s="1"/>
  <c r="D19" i="5"/>
  <c r="D17" i="5"/>
  <c r="C16" i="5"/>
  <c r="C14" i="5"/>
  <c r="Q105" i="2"/>
  <c r="R105" i="2" l="1"/>
  <c r="C18" i="5" s="1"/>
  <c r="C17" i="5"/>
  <c r="C19" i="5"/>
</calcChain>
</file>

<file path=xl/sharedStrings.xml><?xml version="1.0" encoding="utf-8"?>
<sst xmlns="http://schemas.openxmlformats.org/spreadsheetml/2006/main" count="148" uniqueCount="99">
  <si>
    <t>Parameter</t>
  </si>
  <si>
    <t>Number of weeks</t>
  </si>
  <si>
    <t>OUL Factor</t>
  </si>
  <si>
    <t>Holding cost per week per unit</t>
  </si>
  <si>
    <t>WEEK</t>
  </si>
  <si>
    <t>CUSTOMER DEMAND</t>
  </si>
  <si>
    <t>FORECAST</t>
  </si>
  <si>
    <t>OUL</t>
  </si>
  <si>
    <t>GOODS RECEIVED</t>
  </si>
  <si>
    <t>BEGINNING INVENTORY</t>
  </si>
  <si>
    <t>INVENTORY POSITION</t>
  </si>
  <si>
    <t>ORDER PLACED TO DISTRIBUTOR</t>
  </si>
  <si>
    <t>GOODS AVAILABLE</t>
  </si>
  <si>
    <t>UNITS SOLD</t>
  </si>
  <si>
    <t>LOST SALES</t>
  </si>
  <si>
    <t>ENDING INVENTORY</t>
  </si>
  <si>
    <t>INVOICE TO CUSTOMER</t>
  </si>
  <si>
    <t>PAYMENT RECEIVED</t>
  </si>
  <si>
    <t>PURCHASE COST</t>
  </si>
  <si>
    <t>PAYMENT MADE TO DISTRIBUTOR</t>
  </si>
  <si>
    <t>NET CASH FLOW</t>
  </si>
  <si>
    <t>CASH POSITION</t>
  </si>
  <si>
    <t>HOLDING COST</t>
  </si>
  <si>
    <t>SHORTAGE COST</t>
  </si>
  <si>
    <t>ORDERS FROM RETAILER</t>
  </si>
  <si>
    <t>ORDER PLACED TO MANUFACTURER</t>
  </si>
  <si>
    <t>UNITS SOLD TO RETAILER</t>
  </si>
  <si>
    <t>INVOICE TO RETAILER</t>
  </si>
  <si>
    <t>PAYMENT MADE TO MANUFACTURER</t>
  </si>
  <si>
    <t>ORDERS FROM DISTRIBUTOR</t>
  </si>
  <si>
    <t>GOODS PRODUCED</t>
  </si>
  <si>
    <t>ORDER PLACED FOR PRODUCTION</t>
  </si>
  <si>
    <t>UNITS SHIPPED TO DISTRIBUTOR</t>
  </si>
  <si>
    <t>INVOICE TO DISTRIBUTOR</t>
  </si>
  <si>
    <t>METRIC</t>
  </si>
  <si>
    <t>MANUFACTURER</t>
  </si>
  <si>
    <t>DISTRIBUTOR</t>
  </si>
  <si>
    <t>RETAILER</t>
  </si>
  <si>
    <t>NORM.INV(RAND(),20,5)</t>
  </si>
  <si>
    <t>INVENTORY WEEKS</t>
  </si>
  <si>
    <t>CASH TO CASH CYCLE TIME</t>
  </si>
  <si>
    <t>ACCOUNTS PAYABLE</t>
  </si>
  <si>
    <t>ACCOUNTS RECEIVABLE</t>
  </si>
  <si>
    <t>ACCOUTS PAYABLE</t>
  </si>
  <si>
    <t>AVG DEMAND</t>
  </si>
  <si>
    <t>1 to 104</t>
  </si>
  <si>
    <t>TOTAL DEMAND</t>
  </si>
  <si>
    <t>TOTAL UNITS SOLD</t>
  </si>
  <si>
    <t>FILL RATE</t>
  </si>
  <si>
    <t>AVERAGE INVENTORY</t>
  </si>
  <si>
    <t>INVENTORY TURNOVER</t>
  </si>
  <si>
    <t>INVENTORY DURATION</t>
  </si>
  <si>
    <t>TOTAL HOLDING COST</t>
  </si>
  <si>
    <t>TOTAL SHORTAGE COST</t>
  </si>
  <si>
    <t>TOTAL PURCHASE/PRODUCTION COST</t>
  </si>
  <si>
    <t>TOTAL REVENUE</t>
  </si>
  <si>
    <t>TOTAL PROFIT</t>
  </si>
  <si>
    <t>MINIMUM CASH POSITION</t>
  </si>
  <si>
    <t>ACCOUNTS RECEIVABLE DURATION</t>
  </si>
  <si>
    <t>ACCOUNTS PAYABLE DURATION</t>
  </si>
  <si>
    <t>TOTAL OPERATIONAL COST</t>
  </si>
  <si>
    <t>VARIANCE DEMAND</t>
  </si>
  <si>
    <t>VARIANCE ORDER PLACED</t>
  </si>
  <si>
    <t>VARIANCE ORDER</t>
  </si>
  <si>
    <t>PRODUCTION COST</t>
  </si>
  <si>
    <t>Value</t>
  </si>
  <si>
    <t>Lead Time</t>
  </si>
  <si>
    <t>Initial Inventory</t>
  </si>
  <si>
    <t>Demand Distribution</t>
  </si>
  <si>
    <t>Retailer Selling Price</t>
  </si>
  <si>
    <t>Retailer Purchase Price</t>
  </si>
  <si>
    <t>Distributor Selling Price</t>
  </si>
  <si>
    <t>Distributor Purchase Price</t>
  </si>
  <si>
    <t>Manufacturer Selling Price</t>
  </si>
  <si>
    <t>Manufacturer Production Cost</t>
  </si>
  <si>
    <t>Credit [Customer to Retailer]</t>
  </si>
  <si>
    <t>Credit [Retailer to Distributor]</t>
  </si>
  <si>
    <t>Credit [Distributor to Manufacturer]</t>
  </si>
  <si>
    <t>Initial Cash [Retailer]</t>
  </si>
  <si>
    <t>Initial Cash [Distributor]</t>
  </si>
  <si>
    <t>Initial Cash [Manufacturer]</t>
  </si>
  <si>
    <t>Shortage Cost per week per unit</t>
  </si>
  <si>
    <t>Retailer</t>
  </si>
  <si>
    <t>Distributor</t>
  </si>
  <si>
    <t>Manufacturer</t>
  </si>
  <si>
    <t>Performance Summary</t>
  </si>
  <si>
    <t>From Week</t>
  </si>
  <si>
    <t>To Week</t>
  </si>
  <si>
    <t>AVERAGE DEMAND</t>
  </si>
  <si>
    <t>Retailer overhead</t>
  </si>
  <si>
    <t>Distributor overhead</t>
  </si>
  <si>
    <t>Manufacturer overhead</t>
  </si>
  <si>
    <t>Retailer profit</t>
  </si>
  <si>
    <t>Distributor profit</t>
  </si>
  <si>
    <t>Manufacturer profit</t>
  </si>
  <si>
    <t>OVERHEAD EXPENSES</t>
  </si>
  <si>
    <t>TOTAL OVERHEAD EXPENSES</t>
  </si>
  <si>
    <t>NUMBER OF WEEKS WITH NEGATIVE NET CASH FLOW</t>
  </si>
  <si>
    <t>TOTAL AMOUNT PAID TO UPSTREAM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</si>
</sst>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AACC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AAD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8" xfId="0" applyBorder="1"/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5" borderId="2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left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left"/>
    </xf>
    <xf numFmtId="0" fontId="0" fillId="7" borderId="7" xfId="0" applyFill="1" applyBorder="1" applyAlignment="1">
      <alignment horizont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left" vertic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left" vertical="center"/>
    </xf>
    <xf numFmtId="0" fontId="0" fillId="6" borderId="7" xfId="0" applyFill="1" applyBorder="1" applyAlignment="1">
      <alignment horizontal="center"/>
    </xf>
    <xf numFmtId="0" fontId="0" fillId="8" borderId="2" xfId="0" applyFill="1" applyBorder="1" applyAlignment="1">
      <alignment horizontal="left" vertical="center"/>
    </xf>
    <xf numFmtId="0" fontId="0" fillId="8" borderId="3" xfId="0" applyFill="1" applyBorder="1" applyAlignment="1">
      <alignment horizontal="center"/>
    </xf>
    <xf numFmtId="0" fontId="0" fillId="8" borderId="6" xfId="0" applyFill="1" applyBorder="1" applyAlignment="1">
      <alignment horizontal="left" vertical="center"/>
    </xf>
    <xf numFmtId="0" fontId="0" fillId="8" borderId="7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center"/>
    </xf>
    <xf numFmtId="0" fontId="1" fillId="9" borderId="12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10" xfId="0" applyNumberForma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1" fillId="10" borderId="0" xfId="0" applyFont="1" applyFill="1" applyAlignment="1">
      <alignment horizontal="center" vertical="center" wrapText="1"/>
    </xf>
    <xf numFmtId="0" fontId="0" fillId="11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FFCC"/>
      <color rgb="FFFF7C80"/>
      <color rgb="FFEAAD00"/>
      <color rgb="FFCAACCB"/>
      <color rgb="FFD2A4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C9CC-0BDF-47FE-99FA-9CAB0160E0A0}">
  <dimension ref="A1:F29"/>
  <sheetViews>
    <sheetView zoomScaleNormal="100" workbookViewId="0"/>
  </sheetViews>
  <sheetFormatPr defaultRowHeight="14.4" x14ac:dyDescent="0.3"/>
  <cols>
    <col min="1" max="1" width="32.88671875" customWidth="1"/>
    <col min="2" max="2" width="26.88671875" style="1" customWidth="1"/>
    <col min="3" max="3" width="22" customWidth="1"/>
  </cols>
  <sheetData>
    <row r="1" spans="1:4" s="3" customFormat="1" ht="28.8" customHeight="1" x14ac:dyDescent="0.3">
      <c r="A1" s="48" t="s">
        <v>0</v>
      </c>
      <c r="B1" s="49" t="s">
        <v>65</v>
      </c>
    </row>
    <row r="2" spans="1:4" x14ac:dyDescent="0.3">
      <c r="A2" s="42" t="s">
        <v>1</v>
      </c>
      <c r="B2" s="43" t="s">
        <v>45</v>
      </c>
    </row>
    <row r="3" spans="1:4" x14ac:dyDescent="0.3">
      <c r="A3" s="44" t="s">
        <v>66</v>
      </c>
      <c r="B3" s="45">
        <v>2</v>
      </c>
    </row>
    <row r="4" spans="1:4" x14ac:dyDescent="0.3">
      <c r="A4" s="44" t="s">
        <v>2</v>
      </c>
      <c r="B4" s="45">
        <v>3</v>
      </c>
    </row>
    <row r="5" spans="1:4" x14ac:dyDescent="0.3">
      <c r="A5" s="44" t="s">
        <v>67</v>
      </c>
      <c r="B5" s="45">
        <v>80</v>
      </c>
    </row>
    <row r="6" spans="1:4" x14ac:dyDescent="0.3">
      <c r="A6" s="46" t="s">
        <v>68</v>
      </c>
      <c r="B6" s="47" t="s">
        <v>38</v>
      </c>
    </row>
    <row r="7" spans="1:4" x14ac:dyDescent="0.3">
      <c r="A7" s="26" t="s">
        <v>69</v>
      </c>
      <c r="B7" s="27">
        <v>180</v>
      </c>
      <c r="C7" s="56" t="s">
        <v>89</v>
      </c>
      <c r="D7" s="56">
        <v>10</v>
      </c>
    </row>
    <row r="8" spans="1:4" x14ac:dyDescent="0.3">
      <c r="A8" s="28" t="s">
        <v>70</v>
      </c>
      <c r="B8" s="29">
        <v>140</v>
      </c>
      <c r="C8" s="56" t="s">
        <v>92</v>
      </c>
      <c r="D8" s="56">
        <v>30</v>
      </c>
    </row>
    <row r="9" spans="1:4" x14ac:dyDescent="0.3">
      <c r="A9" s="28" t="s">
        <v>71</v>
      </c>
      <c r="B9" s="29">
        <v>140</v>
      </c>
      <c r="C9" s="56" t="s">
        <v>90</v>
      </c>
      <c r="D9" s="56">
        <v>7</v>
      </c>
    </row>
    <row r="10" spans="1:4" x14ac:dyDescent="0.3">
      <c r="A10" s="28" t="s">
        <v>72</v>
      </c>
      <c r="B10" s="29">
        <v>100</v>
      </c>
      <c r="C10" s="56" t="s">
        <v>93</v>
      </c>
      <c r="D10" s="56">
        <v>33</v>
      </c>
    </row>
    <row r="11" spans="1:4" x14ac:dyDescent="0.3">
      <c r="A11" s="28" t="s">
        <v>73</v>
      </c>
      <c r="B11" s="29">
        <v>100</v>
      </c>
      <c r="C11" s="56" t="s">
        <v>91</v>
      </c>
      <c r="D11" s="56">
        <v>5</v>
      </c>
    </row>
    <row r="12" spans="1:4" x14ac:dyDescent="0.3">
      <c r="A12" s="30" t="s">
        <v>74</v>
      </c>
      <c r="B12" s="31">
        <v>50</v>
      </c>
      <c r="C12" s="56" t="s">
        <v>94</v>
      </c>
      <c r="D12" s="56">
        <v>45</v>
      </c>
    </row>
    <row r="13" spans="1:4" x14ac:dyDescent="0.3">
      <c r="A13" s="9" t="s">
        <v>75</v>
      </c>
      <c r="B13" s="12">
        <v>0</v>
      </c>
    </row>
    <row r="14" spans="1:4" x14ac:dyDescent="0.3">
      <c r="A14" s="10" t="s">
        <v>76</v>
      </c>
      <c r="B14" s="13">
        <v>2</v>
      </c>
    </row>
    <row r="15" spans="1:4" x14ac:dyDescent="0.3">
      <c r="A15" s="11" t="s">
        <v>77</v>
      </c>
      <c r="B15" s="14">
        <v>2</v>
      </c>
    </row>
    <row r="16" spans="1:4" x14ac:dyDescent="0.3">
      <c r="A16" s="8" t="s">
        <v>78</v>
      </c>
      <c r="B16" s="7">
        <v>10000</v>
      </c>
    </row>
    <row r="17" spans="1:6" x14ac:dyDescent="0.3">
      <c r="A17" s="8" t="s">
        <v>79</v>
      </c>
      <c r="B17" s="7">
        <v>30000</v>
      </c>
    </row>
    <row r="18" spans="1:6" x14ac:dyDescent="0.3">
      <c r="A18" s="8" t="s">
        <v>80</v>
      </c>
      <c r="B18" s="7">
        <v>50000</v>
      </c>
    </row>
    <row r="19" spans="1:6" ht="22.2" customHeight="1" x14ac:dyDescent="0.3">
      <c r="A19" s="57" t="s">
        <v>3</v>
      </c>
      <c r="B19" s="57"/>
    </row>
    <row r="20" spans="1:6" x14ac:dyDescent="0.3">
      <c r="A20" s="22" t="s">
        <v>82</v>
      </c>
      <c r="B20" s="15">
        <v>15</v>
      </c>
    </row>
    <row r="21" spans="1:6" x14ac:dyDescent="0.3">
      <c r="A21" s="23" t="s">
        <v>83</v>
      </c>
      <c r="B21" s="16">
        <v>10</v>
      </c>
      <c r="F21" s="2"/>
    </row>
    <row r="22" spans="1:6" x14ac:dyDescent="0.3">
      <c r="A22" s="24" t="s">
        <v>84</v>
      </c>
      <c r="B22" s="17">
        <v>5</v>
      </c>
    </row>
    <row r="23" spans="1:6" ht="25.2" customHeight="1" x14ac:dyDescent="0.3">
      <c r="A23" s="57" t="s">
        <v>81</v>
      </c>
      <c r="B23" s="57"/>
    </row>
    <row r="24" spans="1:6" x14ac:dyDescent="0.3">
      <c r="A24" s="32" t="s">
        <v>82</v>
      </c>
      <c r="B24" s="33">
        <v>40</v>
      </c>
    </row>
    <row r="25" spans="1:6" x14ac:dyDescent="0.3">
      <c r="A25" s="34" t="s">
        <v>83</v>
      </c>
      <c r="B25" s="35">
        <v>30</v>
      </c>
    </row>
    <row r="26" spans="1:6" x14ac:dyDescent="0.3">
      <c r="A26" s="36" t="s">
        <v>84</v>
      </c>
      <c r="B26" s="37">
        <v>40</v>
      </c>
    </row>
    <row r="27" spans="1:6" s="25" customFormat="1" ht="25.2" customHeight="1" x14ac:dyDescent="0.3">
      <c r="A27" s="57" t="s">
        <v>85</v>
      </c>
      <c r="B27" s="58"/>
    </row>
    <row r="28" spans="1:6" x14ac:dyDescent="0.3">
      <c r="A28" s="38" t="s">
        <v>86</v>
      </c>
      <c r="B28" s="39">
        <v>21</v>
      </c>
    </row>
    <row r="29" spans="1:6" x14ac:dyDescent="0.3">
      <c r="A29" s="40" t="s">
        <v>87</v>
      </c>
      <c r="B29" s="41">
        <v>80</v>
      </c>
    </row>
  </sheetData>
  <mergeCells count="3">
    <mergeCell ref="A19:B19"/>
    <mergeCell ref="A23:B23"/>
    <mergeCell ref="A27:B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F9D8-936A-4269-BB98-E79564ABEB8B}">
  <dimension ref="A1:Y111"/>
  <sheetViews>
    <sheetView zoomScale="55" zoomScaleNormal="55" workbookViewId="0"/>
  </sheetViews>
  <sheetFormatPr defaultRowHeight="14.4" x14ac:dyDescent="0.3"/>
  <cols>
    <col min="1" max="1" width="8.109375" style="1" customWidth="1"/>
    <col min="2" max="2" width="12.21875" style="1" customWidth="1"/>
    <col min="3" max="3" width="11.44140625" style="1" customWidth="1"/>
    <col min="4" max="4" width="7.77734375" style="1" customWidth="1"/>
    <col min="5" max="5" width="10.88671875" style="1" customWidth="1"/>
    <col min="6" max="6" width="13" style="1" customWidth="1"/>
    <col min="7" max="7" width="11.33203125" style="1" customWidth="1"/>
    <col min="8" max="8" width="13.109375" style="1" customWidth="1"/>
    <col min="9" max="9" width="11.6640625" style="1" customWidth="1"/>
    <col min="10" max="10" width="8.77734375" style="1" customWidth="1"/>
    <col min="11" max="11" width="7.6640625" style="1" customWidth="1"/>
    <col min="12" max="12" width="12.109375" style="1" customWidth="1"/>
    <col min="13" max="13" width="12" style="1" customWidth="1"/>
    <col min="14" max="14" width="11.21875" style="1" customWidth="1"/>
    <col min="15" max="15" width="11" style="1" customWidth="1"/>
    <col min="16" max="16" width="14.109375" style="1" customWidth="1"/>
    <col min="17" max="17" width="8.88671875" style="1" customWidth="1"/>
    <col min="18" max="18" width="10.77734375" style="1" customWidth="1"/>
    <col min="19" max="19" width="21.33203125" style="1" customWidth="1"/>
    <col min="20" max="20" width="9.44140625" style="1" customWidth="1"/>
    <col min="21" max="21" width="10.5546875" style="1" customWidth="1"/>
    <col min="22" max="22" width="11.6640625" style="1" customWidth="1"/>
    <col min="23" max="23" width="11.21875" style="1" customWidth="1"/>
    <col min="24" max="24" width="13" style="1" customWidth="1"/>
    <col min="25" max="25" width="13.109375" style="1" customWidth="1"/>
    <col min="26" max="16384" width="8.88671875" style="1"/>
  </cols>
  <sheetData>
    <row r="1" spans="1:25" s="55" customFormat="1" ht="58.2" customHeight="1" x14ac:dyDescent="0.3">
      <c r="A1" s="55" t="s">
        <v>4</v>
      </c>
      <c r="B1" s="55" t="s">
        <v>5</v>
      </c>
      <c r="C1" s="55" t="s">
        <v>6</v>
      </c>
      <c r="D1" s="55" t="s">
        <v>7</v>
      </c>
      <c r="E1" s="55" t="s">
        <v>8</v>
      </c>
      <c r="F1" s="55" t="s">
        <v>9</v>
      </c>
      <c r="G1" s="55" t="s">
        <v>10</v>
      </c>
      <c r="H1" s="55" t="s">
        <v>11</v>
      </c>
      <c r="I1" s="55" t="s">
        <v>12</v>
      </c>
      <c r="J1" s="55" t="s">
        <v>13</v>
      </c>
      <c r="K1" s="55" t="s">
        <v>14</v>
      </c>
      <c r="L1" s="55" t="s">
        <v>15</v>
      </c>
      <c r="M1" s="55" t="s">
        <v>16</v>
      </c>
      <c r="N1" s="55" t="s">
        <v>17</v>
      </c>
      <c r="O1" s="55" t="s">
        <v>18</v>
      </c>
      <c r="P1" s="55" t="s">
        <v>19</v>
      </c>
      <c r="Q1" s="55" t="s">
        <v>20</v>
      </c>
      <c r="R1" s="55" t="s">
        <v>21</v>
      </c>
      <c r="S1" s="55" t="s">
        <v>95</v>
      </c>
      <c r="T1" s="55" t="s">
        <v>22</v>
      </c>
      <c r="U1" s="55" t="s">
        <v>23</v>
      </c>
      <c r="V1" s="55" t="s">
        <v>39</v>
      </c>
      <c r="W1" s="55" t="s">
        <v>40</v>
      </c>
      <c r="X1" s="55" t="s">
        <v>41</v>
      </c>
      <c r="Y1" s="55" t="s">
        <v>42</v>
      </c>
    </row>
    <row r="2" spans="1:25" x14ac:dyDescent="0.3">
      <c r="A2" s="1">
        <v>1</v>
      </c>
      <c r="B2" s="1">
        <f>Demand!B2</f>
        <v>25</v>
      </c>
      <c r="C2" s="1">
        <f>20</f>
        <v>20</v>
      </c>
      <c r="D2" s="1">
        <f>3*C2</f>
        <v>60</v>
      </c>
      <c r="E2" s="1">
        <f>0</f>
        <v>0</v>
      </c>
      <c r="F2" s="1">
        <f>IF(A2=1,'Data Considered'!$B$5,Retailer!L1+Retailer!E2)</f>
        <v>80</v>
      </c>
      <c r="G2" s="1">
        <f t="shared" ref="G2:G33" si="0">F2+IF(A2&gt;1,H1,0)</f>
        <v>80</v>
      </c>
      <c r="H2" s="1">
        <f t="shared" ref="H2:H33" si="1">IF(D2&gt;G2,D2-G2,0)</f>
        <v>0</v>
      </c>
      <c r="I2" s="1">
        <f>F2</f>
        <v>80</v>
      </c>
      <c r="J2" s="1">
        <f t="shared" ref="J2:J33" si="2">MIN(I2,B2)</f>
        <v>25</v>
      </c>
      <c r="K2" s="1">
        <f t="shared" ref="K2" si="3">B2-J2</f>
        <v>0</v>
      </c>
      <c r="L2" s="1">
        <f>I2-J2</f>
        <v>55</v>
      </c>
      <c r="M2" s="1">
        <f>J2*'Data Considered'!$B$7</f>
        <v>4500</v>
      </c>
      <c r="N2" s="1">
        <f ca="1">IF(A2&gt;'Data Considered'!$B$13,OFFSET(Retailer!M2,-'Data Considered'!$B$13,0),0)</f>
        <v>4500</v>
      </c>
      <c r="O2" s="1">
        <f>E2*'Data Considered'!$B$8</f>
        <v>0</v>
      </c>
      <c r="P2" s="1">
        <f ca="1">IF(A2&gt;'Data Considered'!$B$14,OFFSET(Retailer!O2,-'Data Considered'!$B$14,0),0)</f>
        <v>0</v>
      </c>
      <c r="Q2" s="1">
        <f ca="1">N2-P2-T2-S2</f>
        <v>3425</v>
      </c>
      <c r="R2" s="1">
        <f>IF(A2=1,'Data Considered'!$B$16,Retailer!R1+Retailer!Q2)</f>
        <v>10000</v>
      </c>
      <c r="S2" s="1">
        <f>J2*'Data Considered'!$D$7</f>
        <v>250</v>
      </c>
      <c r="T2" s="1">
        <f>L2*'Data Considered'!$B$20</f>
        <v>825</v>
      </c>
      <c r="U2" s="1">
        <f>K2*'Data Considered'!$B$24</f>
        <v>0</v>
      </c>
      <c r="V2" s="1">
        <f>ROUNDUP(L2/$B$108,0)</f>
        <v>3</v>
      </c>
      <c r="W2" s="1">
        <f>V2+'Data Considered'!$B$13-'Data Considered'!$B$14</f>
        <v>1</v>
      </c>
      <c r="X2" s="1">
        <f ca="1">IF(A2&gt;2,OFFSET(O2,-2,0),0)+S2</f>
        <v>250</v>
      </c>
      <c r="Y2" s="1">
        <f>M2</f>
        <v>4500</v>
      </c>
    </row>
    <row r="3" spans="1:25" x14ac:dyDescent="0.3">
      <c r="A3" s="1">
        <f>A2+1</f>
        <v>2</v>
      </c>
      <c r="B3" s="1">
        <f>Demand!B3</f>
        <v>24</v>
      </c>
      <c r="C3" s="1">
        <f>B2</f>
        <v>25</v>
      </c>
      <c r="D3" s="1">
        <f t="shared" ref="D3:D31" si="4">3*C3</f>
        <v>75</v>
      </c>
      <c r="E3" s="1">
        <f>Distributor!J2</f>
        <v>0</v>
      </c>
      <c r="F3" s="1">
        <f>IF(A3=1,'Data Considered'!$B$5,Retailer!L2+Retailer!E3)</f>
        <v>55</v>
      </c>
      <c r="G3" s="1">
        <f t="shared" si="0"/>
        <v>55</v>
      </c>
      <c r="H3" s="1">
        <f t="shared" si="1"/>
        <v>20</v>
      </c>
      <c r="I3" s="1">
        <f t="shared" ref="I3:I66" si="5">F3</f>
        <v>55</v>
      </c>
      <c r="J3" s="1">
        <f t="shared" si="2"/>
        <v>24</v>
      </c>
      <c r="K3" s="1">
        <f>B3-J3</f>
        <v>0</v>
      </c>
      <c r="L3" s="1">
        <f t="shared" ref="L3:L31" si="6">I3-J3</f>
        <v>31</v>
      </c>
      <c r="M3" s="1">
        <f>J3*'Data Considered'!$B$7</f>
        <v>4320</v>
      </c>
      <c r="N3" s="1">
        <f ca="1">IF(A3&gt;'Data Considered'!$B$13,OFFSET(Retailer!M3,-'Data Considered'!$B$13,0),0)</f>
        <v>4320</v>
      </c>
      <c r="O3" s="1">
        <f>E3*'Data Considered'!$B$8</f>
        <v>0</v>
      </c>
      <c r="P3" s="1">
        <f ca="1">IF(A3&gt;'Data Considered'!$B$14,OFFSET(Retailer!O3,-'Data Considered'!$B$14,0),0)</f>
        <v>0</v>
      </c>
      <c r="Q3" s="1">
        <f t="shared" ref="Q3:Q66" ca="1" si="7">N3-P3-T3-S3</f>
        <v>3615</v>
      </c>
      <c r="R3" s="1">
        <f ca="1">IF(A3=1,'Data Considered'!$B$16,Retailer!R2+Retailer!Q3)</f>
        <v>13615</v>
      </c>
      <c r="S3" s="1">
        <f>J3*'Data Considered'!$D$7</f>
        <v>240</v>
      </c>
      <c r="T3" s="1">
        <f>L3*'Data Considered'!$B$20</f>
        <v>465</v>
      </c>
      <c r="U3" s="1">
        <f>K3*'Data Considered'!$B$24</f>
        <v>0</v>
      </c>
      <c r="V3" s="1">
        <f t="shared" ref="V3:V66" si="8">ROUNDUP(L3/$B$108,0)</f>
        <v>2</v>
      </c>
      <c r="W3" s="1">
        <f>V3+'Data Considered'!$B$13-'Data Considered'!$B$14</f>
        <v>0</v>
      </c>
      <c r="X3" s="1">
        <f t="shared" ref="X3:X66" ca="1" si="9">IF(A3&gt;2,OFFSET(O3,-2,0),0)+S3</f>
        <v>240</v>
      </c>
      <c r="Y3" s="1">
        <f t="shared" ref="Y3:Y66" si="10">M3</f>
        <v>4320</v>
      </c>
    </row>
    <row r="4" spans="1:25" x14ac:dyDescent="0.3">
      <c r="A4" s="1">
        <f t="shared" ref="A4:A67" si="11">A3+1</f>
        <v>3</v>
      </c>
      <c r="B4" s="1">
        <f>Demand!B4</f>
        <v>15</v>
      </c>
      <c r="C4" s="1">
        <f>ROUNDUP(AVERAGE(B2,B3),0)</f>
        <v>25</v>
      </c>
      <c r="D4" s="1">
        <f t="shared" si="4"/>
        <v>75</v>
      </c>
      <c r="E4" s="1">
        <f>Distributor!J3</f>
        <v>0</v>
      </c>
      <c r="F4" s="1">
        <f>IF(A4=1,'Data Considered'!$B$5,Retailer!L3+Retailer!E4)</f>
        <v>31</v>
      </c>
      <c r="G4" s="1">
        <f t="shared" si="0"/>
        <v>51</v>
      </c>
      <c r="H4" s="1">
        <f t="shared" si="1"/>
        <v>24</v>
      </c>
      <c r="I4" s="1">
        <f t="shared" si="5"/>
        <v>31</v>
      </c>
      <c r="J4" s="1">
        <f t="shared" si="2"/>
        <v>15</v>
      </c>
      <c r="K4" s="1">
        <f t="shared" ref="K4:K67" si="12">B4-J4</f>
        <v>0</v>
      </c>
      <c r="L4" s="1">
        <f t="shared" si="6"/>
        <v>16</v>
      </c>
      <c r="M4" s="1">
        <f>J4*'Data Considered'!$B$7</f>
        <v>2700</v>
      </c>
      <c r="N4" s="1">
        <f ca="1">IF(A4&gt;'Data Considered'!$B$13,OFFSET(Retailer!M4,-'Data Considered'!$B$13,0),0)</f>
        <v>2700</v>
      </c>
      <c r="O4" s="1">
        <f>E4*'Data Considered'!$B$8</f>
        <v>0</v>
      </c>
      <c r="P4" s="1">
        <f ca="1">IF(A4&gt;'Data Considered'!$B$14,OFFSET(Retailer!O4,-'Data Considered'!$B$14,0),0)</f>
        <v>0</v>
      </c>
      <c r="Q4" s="1">
        <f t="shared" ca="1" si="7"/>
        <v>2310</v>
      </c>
      <c r="R4" s="1">
        <f ca="1">IF(A4=1,'Data Considered'!$B$16,Retailer!R3+Retailer!Q4)</f>
        <v>15925</v>
      </c>
      <c r="S4" s="1">
        <f>J4*'Data Considered'!$D$7</f>
        <v>150</v>
      </c>
      <c r="T4" s="1">
        <f>L4*'Data Considered'!$B$20</f>
        <v>240</v>
      </c>
      <c r="U4" s="1">
        <f>K4*'Data Considered'!$B$24</f>
        <v>0</v>
      </c>
      <c r="V4" s="1">
        <f t="shared" si="8"/>
        <v>1</v>
      </c>
      <c r="W4" s="1">
        <f>V4+'Data Considered'!$B$13-'Data Considered'!$B$14</f>
        <v>-1</v>
      </c>
      <c r="X4" s="1">
        <f t="shared" ca="1" si="9"/>
        <v>150</v>
      </c>
      <c r="Y4" s="1">
        <f t="shared" si="10"/>
        <v>2700</v>
      </c>
    </row>
    <row r="5" spans="1:25" x14ac:dyDescent="0.3">
      <c r="A5" s="1">
        <f t="shared" si="11"/>
        <v>4</v>
      </c>
      <c r="B5" s="1">
        <f>Demand!B5</f>
        <v>21</v>
      </c>
      <c r="C5" s="1">
        <f t="shared" ref="C5:C31" si="13">ROUNDUP(AVERAGE(B3,B4),0)</f>
        <v>20</v>
      </c>
      <c r="D5" s="1">
        <f t="shared" si="4"/>
        <v>60</v>
      </c>
      <c r="E5" s="1">
        <f ca="1">Distributor!J4</f>
        <v>20</v>
      </c>
      <c r="F5" s="1">
        <f ca="1">IF(A5=1,'Data Considered'!$B$5,Retailer!L4+Retailer!E5)</f>
        <v>36</v>
      </c>
      <c r="G5" s="1">
        <f t="shared" ca="1" si="0"/>
        <v>60</v>
      </c>
      <c r="H5" s="1">
        <f t="shared" ca="1" si="1"/>
        <v>0</v>
      </c>
      <c r="I5" s="1">
        <f t="shared" ca="1" si="5"/>
        <v>36</v>
      </c>
      <c r="J5" s="1">
        <f t="shared" ca="1" si="2"/>
        <v>21</v>
      </c>
      <c r="K5" s="1">
        <f t="shared" ca="1" si="12"/>
        <v>0</v>
      </c>
      <c r="L5" s="1">
        <f t="shared" ca="1" si="6"/>
        <v>15</v>
      </c>
      <c r="M5" s="1">
        <f ca="1">J5*'Data Considered'!$B$7</f>
        <v>3780</v>
      </c>
      <c r="N5" s="1">
        <f ca="1">IF(A5&gt;'Data Considered'!$B$13,OFFSET(Retailer!M5,-'Data Considered'!$B$13,0),0)</f>
        <v>3780</v>
      </c>
      <c r="O5" s="1">
        <f ca="1">E5*'Data Considered'!$B$8</f>
        <v>2800</v>
      </c>
      <c r="P5" s="1">
        <f ca="1">IF(A5&gt;'Data Considered'!$B$14,OFFSET(Retailer!O5,-'Data Considered'!$B$14,0),0)</f>
        <v>0</v>
      </c>
      <c r="Q5" s="1">
        <f t="shared" ca="1" si="7"/>
        <v>3345</v>
      </c>
      <c r="R5" s="1">
        <f ca="1">IF(A5=1,'Data Considered'!$B$16,Retailer!R4+Retailer!Q5)</f>
        <v>19270</v>
      </c>
      <c r="S5" s="1">
        <f ca="1">J5*'Data Considered'!$D$7</f>
        <v>210</v>
      </c>
      <c r="T5" s="1">
        <f ca="1">L5*'Data Considered'!$B$20</f>
        <v>225</v>
      </c>
      <c r="U5" s="1">
        <f ca="1">K5*'Data Considered'!$B$24</f>
        <v>0</v>
      </c>
      <c r="V5" s="1">
        <f t="shared" ca="1" si="8"/>
        <v>1</v>
      </c>
      <c r="W5" s="1">
        <f ca="1">V5+'Data Considered'!$B$13-'Data Considered'!$B$14</f>
        <v>-1</v>
      </c>
      <c r="X5" s="1">
        <f t="shared" ca="1" si="9"/>
        <v>210</v>
      </c>
      <c r="Y5" s="1">
        <f t="shared" ca="1" si="10"/>
        <v>3780</v>
      </c>
    </row>
    <row r="6" spans="1:25" x14ac:dyDescent="0.3">
      <c r="A6" s="1">
        <f t="shared" si="11"/>
        <v>5</v>
      </c>
      <c r="B6" s="1">
        <f>Demand!B6</f>
        <v>26</v>
      </c>
      <c r="C6" s="1">
        <f t="shared" si="13"/>
        <v>18</v>
      </c>
      <c r="D6" s="1">
        <f t="shared" si="4"/>
        <v>54</v>
      </c>
      <c r="E6" s="1">
        <f ca="1">Distributor!J5</f>
        <v>24</v>
      </c>
      <c r="F6" s="1">
        <f ca="1">IF(A6=1,'Data Considered'!$B$5,Retailer!L5+Retailer!E6)</f>
        <v>39</v>
      </c>
      <c r="G6" s="1">
        <f t="shared" ca="1" si="0"/>
        <v>39</v>
      </c>
      <c r="H6" s="1">
        <f t="shared" ca="1" si="1"/>
        <v>15</v>
      </c>
      <c r="I6" s="1">
        <f t="shared" ca="1" si="5"/>
        <v>39</v>
      </c>
      <c r="J6" s="1">
        <f t="shared" ca="1" si="2"/>
        <v>26</v>
      </c>
      <c r="K6" s="1">
        <f t="shared" ca="1" si="12"/>
        <v>0</v>
      </c>
      <c r="L6" s="1">
        <f t="shared" ca="1" si="6"/>
        <v>13</v>
      </c>
      <c r="M6" s="1">
        <f ca="1">J6*'Data Considered'!$B$7</f>
        <v>4680</v>
      </c>
      <c r="N6" s="1">
        <f ca="1">IF(A6&gt;'Data Considered'!$B$13,OFFSET(Retailer!M6,-'Data Considered'!$B$13,0),0)</f>
        <v>4680</v>
      </c>
      <c r="O6" s="1">
        <f ca="1">E6*'Data Considered'!$B$8</f>
        <v>3360</v>
      </c>
      <c r="P6" s="1">
        <f ca="1">IF(A6&gt;'Data Considered'!$B$14,OFFSET(Retailer!O6,-'Data Considered'!$B$14,0),0)</f>
        <v>0</v>
      </c>
      <c r="Q6" s="1">
        <f t="shared" ca="1" si="7"/>
        <v>4225</v>
      </c>
      <c r="R6" s="1">
        <f ca="1">IF(A6=1,'Data Considered'!$B$16,Retailer!R5+Retailer!Q6)</f>
        <v>23495</v>
      </c>
      <c r="S6" s="1">
        <f ca="1">J6*'Data Considered'!$D$7</f>
        <v>260</v>
      </c>
      <c r="T6" s="1">
        <f ca="1">L6*'Data Considered'!$B$20</f>
        <v>195</v>
      </c>
      <c r="U6" s="1">
        <f ca="1">K6*'Data Considered'!$B$24</f>
        <v>0</v>
      </c>
      <c r="V6" s="1">
        <f t="shared" ca="1" si="8"/>
        <v>1</v>
      </c>
      <c r="W6" s="1">
        <f ca="1">V6+'Data Considered'!$B$13-'Data Considered'!$B$14</f>
        <v>-1</v>
      </c>
      <c r="X6" s="1">
        <f t="shared" ca="1" si="9"/>
        <v>260</v>
      </c>
      <c r="Y6" s="1">
        <f t="shared" ca="1" si="10"/>
        <v>4680</v>
      </c>
    </row>
    <row r="7" spans="1:25" x14ac:dyDescent="0.3">
      <c r="A7" s="1">
        <f t="shared" si="11"/>
        <v>6</v>
      </c>
      <c r="B7" s="1">
        <f>Demand!B7</f>
        <v>24</v>
      </c>
      <c r="C7" s="1">
        <f t="shared" si="13"/>
        <v>24</v>
      </c>
      <c r="D7" s="1">
        <f t="shared" si="4"/>
        <v>72</v>
      </c>
      <c r="E7" s="1">
        <f ca="1">Distributor!J6</f>
        <v>0</v>
      </c>
      <c r="F7" s="1">
        <f ca="1">IF(A7=1,'Data Considered'!$B$5,Retailer!L6+Retailer!E7)</f>
        <v>13</v>
      </c>
      <c r="G7" s="1">
        <f t="shared" ca="1" si="0"/>
        <v>28</v>
      </c>
      <c r="H7" s="1">
        <f t="shared" ca="1" si="1"/>
        <v>44</v>
      </c>
      <c r="I7" s="1">
        <f t="shared" ca="1" si="5"/>
        <v>13</v>
      </c>
      <c r="J7" s="1">
        <f t="shared" ca="1" si="2"/>
        <v>13</v>
      </c>
      <c r="K7" s="1">
        <f t="shared" ca="1" si="12"/>
        <v>11</v>
      </c>
      <c r="L7" s="1">
        <f t="shared" ca="1" si="6"/>
        <v>0</v>
      </c>
      <c r="M7" s="1">
        <f ca="1">J7*'Data Considered'!$B$7</f>
        <v>2340</v>
      </c>
      <c r="N7" s="1">
        <f ca="1">IF(A7&gt;'Data Considered'!$B$13,OFFSET(Retailer!M7,-'Data Considered'!$B$13,0),0)</f>
        <v>2340</v>
      </c>
      <c r="O7" s="1">
        <f ca="1">E7*'Data Considered'!$B$8</f>
        <v>0</v>
      </c>
      <c r="P7" s="1">
        <f ca="1">IF(A7&gt;'Data Considered'!$B$14,OFFSET(Retailer!O7,-'Data Considered'!$B$14,0),0)</f>
        <v>2800</v>
      </c>
      <c r="Q7" s="1">
        <f t="shared" ca="1" si="7"/>
        <v>-590</v>
      </c>
      <c r="R7" s="1">
        <f ca="1">IF(A7=1,'Data Considered'!$B$16,Retailer!R6+Retailer!Q7)</f>
        <v>22905</v>
      </c>
      <c r="S7" s="1">
        <f ca="1">J7*'Data Considered'!$D$7</f>
        <v>130</v>
      </c>
      <c r="T7" s="1">
        <f ca="1">L7*'Data Considered'!$B$20</f>
        <v>0</v>
      </c>
      <c r="U7" s="1">
        <f ca="1">K7*'Data Considered'!$B$24</f>
        <v>440</v>
      </c>
      <c r="V7" s="1">
        <f t="shared" ca="1" si="8"/>
        <v>0</v>
      </c>
      <c r="W7" s="1">
        <f ca="1">V7+'Data Considered'!$B$13-'Data Considered'!$B$14</f>
        <v>-2</v>
      </c>
      <c r="X7" s="1">
        <f t="shared" ca="1" si="9"/>
        <v>2930</v>
      </c>
      <c r="Y7" s="1">
        <f t="shared" ca="1" si="10"/>
        <v>2340</v>
      </c>
    </row>
    <row r="8" spans="1:25" x14ac:dyDescent="0.3">
      <c r="A8" s="1">
        <f t="shared" si="11"/>
        <v>7</v>
      </c>
      <c r="B8" s="1">
        <f>Demand!B8</f>
        <v>26</v>
      </c>
      <c r="C8" s="1">
        <f t="shared" si="13"/>
        <v>25</v>
      </c>
      <c r="D8" s="1">
        <f t="shared" si="4"/>
        <v>75</v>
      </c>
      <c r="E8" s="1">
        <f ca="1">Distributor!J7</f>
        <v>15</v>
      </c>
      <c r="F8" s="1">
        <f ca="1">IF(A8=1,'Data Considered'!$B$5,Retailer!L7+Retailer!E8)</f>
        <v>15</v>
      </c>
      <c r="G8" s="1">
        <f t="shared" ca="1" si="0"/>
        <v>59</v>
      </c>
      <c r="H8" s="1">
        <f t="shared" ca="1" si="1"/>
        <v>16</v>
      </c>
      <c r="I8" s="1">
        <f t="shared" ca="1" si="5"/>
        <v>15</v>
      </c>
      <c r="J8" s="1">
        <f t="shared" ca="1" si="2"/>
        <v>15</v>
      </c>
      <c r="K8" s="1">
        <f t="shared" ca="1" si="12"/>
        <v>11</v>
      </c>
      <c r="L8" s="1">
        <f t="shared" ca="1" si="6"/>
        <v>0</v>
      </c>
      <c r="M8" s="1">
        <f ca="1">J8*'Data Considered'!$B$7</f>
        <v>2700</v>
      </c>
      <c r="N8" s="1">
        <f ca="1">IF(A8&gt;'Data Considered'!$B$13,OFFSET(Retailer!M8,-'Data Considered'!$B$13,0),0)</f>
        <v>2700</v>
      </c>
      <c r="O8" s="1">
        <f ca="1">E8*'Data Considered'!$B$8</f>
        <v>2100</v>
      </c>
      <c r="P8" s="1">
        <f ca="1">IF(A8&gt;'Data Considered'!$B$14,OFFSET(Retailer!O8,-'Data Considered'!$B$14,0),0)</f>
        <v>3360</v>
      </c>
      <c r="Q8" s="1">
        <f t="shared" ca="1" si="7"/>
        <v>-810</v>
      </c>
      <c r="R8" s="1">
        <f ca="1">IF(A8=1,'Data Considered'!$B$16,Retailer!R7+Retailer!Q8)</f>
        <v>22095</v>
      </c>
      <c r="S8" s="1">
        <f ca="1">J8*'Data Considered'!$D$7</f>
        <v>150</v>
      </c>
      <c r="T8" s="1">
        <f ca="1">L8*'Data Considered'!$B$20</f>
        <v>0</v>
      </c>
      <c r="U8" s="1">
        <f ca="1">K8*'Data Considered'!$B$24</f>
        <v>440</v>
      </c>
      <c r="V8" s="1">
        <f t="shared" ca="1" si="8"/>
        <v>0</v>
      </c>
      <c r="W8" s="1">
        <f ca="1">V8+'Data Considered'!$B$13-'Data Considered'!$B$14</f>
        <v>-2</v>
      </c>
      <c r="X8" s="1">
        <f t="shared" ca="1" si="9"/>
        <v>3510</v>
      </c>
      <c r="Y8" s="1">
        <f t="shared" ca="1" si="10"/>
        <v>2700</v>
      </c>
    </row>
    <row r="9" spans="1:25" x14ac:dyDescent="0.3">
      <c r="A9" s="1">
        <f t="shared" si="11"/>
        <v>8</v>
      </c>
      <c r="B9" s="1">
        <f>Demand!B9</f>
        <v>9</v>
      </c>
      <c r="C9" s="1">
        <f t="shared" si="13"/>
        <v>25</v>
      </c>
      <c r="D9" s="1">
        <f t="shared" si="4"/>
        <v>75</v>
      </c>
      <c r="E9" s="1">
        <f ca="1">Distributor!J8</f>
        <v>44</v>
      </c>
      <c r="F9" s="1">
        <f ca="1">IF(A9=1,'Data Considered'!$B$5,Retailer!L8+Retailer!E9)</f>
        <v>44</v>
      </c>
      <c r="G9" s="1">
        <f t="shared" ca="1" si="0"/>
        <v>60</v>
      </c>
      <c r="H9" s="1">
        <f t="shared" ca="1" si="1"/>
        <v>15</v>
      </c>
      <c r="I9" s="1">
        <f t="shared" ca="1" si="5"/>
        <v>44</v>
      </c>
      <c r="J9" s="1">
        <f t="shared" ca="1" si="2"/>
        <v>9</v>
      </c>
      <c r="K9" s="1">
        <f t="shared" ca="1" si="12"/>
        <v>0</v>
      </c>
      <c r="L9" s="1">
        <f t="shared" ca="1" si="6"/>
        <v>35</v>
      </c>
      <c r="M9" s="1">
        <f ca="1">J9*'Data Considered'!$B$7</f>
        <v>1620</v>
      </c>
      <c r="N9" s="1">
        <f ca="1">IF(A9&gt;'Data Considered'!$B$13,OFFSET(Retailer!M9,-'Data Considered'!$B$13,0),0)</f>
        <v>1620</v>
      </c>
      <c r="O9" s="1">
        <f ca="1">E9*'Data Considered'!$B$8</f>
        <v>6160</v>
      </c>
      <c r="P9" s="1">
        <f ca="1">IF(A9&gt;'Data Considered'!$B$14,OFFSET(Retailer!O9,-'Data Considered'!$B$14,0),0)</f>
        <v>0</v>
      </c>
      <c r="Q9" s="1">
        <f t="shared" ca="1" si="7"/>
        <v>1005</v>
      </c>
      <c r="R9" s="1">
        <f ca="1">IF(A9=1,'Data Considered'!$B$16,Retailer!R8+Retailer!Q9)</f>
        <v>23100</v>
      </c>
      <c r="S9" s="1">
        <f ca="1">J9*'Data Considered'!$D$7</f>
        <v>90</v>
      </c>
      <c r="T9" s="1">
        <f ca="1">L9*'Data Considered'!$B$20</f>
        <v>525</v>
      </c>
      <c r="U9" s="1">
        <f ca="1">K9*'Data Considered'!$B$24</f>
        <v>0</v>
      </c>
      <c r="V9" s="1">
        <f t="shared" ca="1" si="8"/>
        <v>2</v>
      </c>
      <c r="W9" s="1">
        <f ca="1">V9+'Data Considered'!$B$13-'Data Considered'!$B$14</f>
        <v>0</v>
      </c>
      <c r="X9" s="1">
        <f t="shared" ca="1" si="9"/>
        <v>90</v>
      </c>
      <c r="Y9" s="1">
        <f t="shared" ca="1" si="10"/>
        <v>1620</v>
      </c>
    </row>
    <row r="10" spans="1:25" x14ac:dyDescent="0.3">
      <c r="A10" s="1">
        <f t="shared" si="11"/>
        <v>9</v>
      </c>
      <c r="B10" s="1">
        <f>Demand!B10</f>
        <v>18</v>
      </c>
      <c r="C10" s="1">
        <f t="shared" si="13"/>
        <v>18</v>
      </c>
      <c r="D10" s="1">
        <f t="shared" si="4"/>
        <v>54</v>
      </c>
      <c r="E10" s="1">
        <f ca="1">Distributor!J9</f>
        <v>7</v>
      </c>
      <c r="F10" s="1">
        <f ca="1">IF(A10=1,'Data Considered'!$B$5,Retailer!L9+Retailer!E10)</f>
        <v>42</v>
      </c>
      <c r="G10" s="1">
        <f t="shared" ca="1" si="0"/>
        <v>57</v>
      </c>
      <c r="H10" s="1">
        <f t="shared" ca="1" si="1"/>
        <v>0</v>
      </c>
      <c r="I10" s="1">
        <f t="shared" ca="1" si="5"/>
        <v>42</v>
      </c>
      <c r="J10" s="1">
        <f t="shared" ca="1" si="2"/>
        <v>18</v>
      </c>
      <c r="K10" s="1">
        <f t="shared" ca="1" si="12"/>
        <v>0</v>
      </c>
      <c r="L10" s="1">
        <f t="shared" ca="1" si="6"/>
        <v>24</v>
      </c>
      <c r="M10" s="1">
        <f ca="1">J10*'Data Considered'!$B$7</f>
        <v>3240</v>
      </c>
      <c r="N10" s="1">
        <f ca="1">IF(A10&gt;'Data Considered'!$B$13,OFFSET(Retailer!M10,-'Data Considered'!$B$13,0),0)</f>
        <v>3240</v>
      </c>
      <c r="O10" s="1">
        <f ca="1">E10*'Data Considered'!$B$8</f>
        <v>980</v>
      </c>
      <c r="P10" s="1">
        <f ca="1">IF(A10&gt;'Data Considered'!$B$14,OFFSET(Retailer!O10,-'Data Considered'!$B$14,0),0)</f>
        <v>2100</v>
      </c>
      <c r="Q10" s="1">
        <f t="shared" ca="1" si="7"/>
        <v>600</v>
      </c>
      <c r="R10" s="1">
        <f ca="1">IF(A10=1,'Data Considered'!$B$16,Retailer!R9+Retailer!Q10)</f>
        <v>23700</v>
      </c>
      <c r="S10" s="1">
        <f ca="1">J10*'Data Considered'!$D$7</f>
        <v>180</v>
      </c>
      <c r="T10" s="1">
        <f ca="1">L10*'Data Considered'!$B$20</f>
        <v>360</v>
      </c>
      <c r="U10" s="1">
        <f ca="1">K10*'Data Considered'!$B$24</f>
        <v>0</v>
      </c>
      <c r="V10" s="1">
        <f t="shared" ca="1" si="8"/>
        <v>2</v>
      </c>
      <c r="W10" s="1">
        <f ca="1">V10+'Data Considered'!$B$13-'Data Considered'!$B$14</f>
        <v>0</v>
      </c>
      <c r="X10" s="1">
        <f t="shared" ca="1" si="9"/>
        <v>2280</v>
      </c>
      <c r="Y10" s="1">
        <f t="shared" ca="1" si="10"/>
        <v>3240</v>
      </c>
    </row>
    <row r="11" spans="1:25" x14ac:dyDescent="0.3">
      <c r="A11" s="1">
        <f t="shared" si="11"/>
        <v>10</v>
      </c>
      <c r="B11" s="1">
        <f>Demand!B11</f>
        <v>22</v>
      </c>
      <c r="C11" s="1">
        <f t="shared" si="13"/>
        <v>14</v>
      </c>
      <c r="D11" s="1">
        <f t="shared" si="4"/>
        <v>42</v>
      </c>
      <c r="E11" s="1">
        <f ca="1">Distributor!J10</f>
        <v>0</v>
      </c>
      <c r="F11" s="1">
        <f ca="1">IF(A11=1,'Data Considered'!$B$5,Retailer!L10+Retailer!E11)</f>
        <v>24</v>
      </c>
      <c r="G11" s="1">
        <f t="shared" ca="1" si="0"/>
        <v>24</v>
      </c>
      <c r="H11" s="1">
        <f t="shared" ca="1" si="1"/>
        <v>18</v>
      </c>
      <c r="I11" s="1">
        <f t="shared" ca="1" si="5"/>
        <v>24</v>
      </c>
      <c r="J11" s="1">
        <f t="shared" ca="1" si="2"/>
        <v>22</v>
      </c>
      <c r="K11" s="1">
        <f t="shared" ca="1" si="12"/>
        <v>0</v>
      </c>
      <c r="L11" s="1">
        <f t="shared" ca="1" si="6"/>
        <v>2</v>
      </c>
      <c r="M11" s="1">
        <f ca="1">J11*'Data Considered'!$B$7</f>
        <v>3960</v>
      </c>
      <c r="N11" s="1">
        <f ca="1">IF(A11&gt;'Data Considered'!$B$13,OFFSET(Retailer!M11,-'Data Considered'!$B$13,0),0)</f>
        <v>3960</v>
      </c>
      <c r="O11" s="1">
        <f ca="1">E11*'Data Considered'!$B$8</f>
        <v>0</v>
      </c>
      <c r="P11" s="1">
        <f ca="1">IF(A11&gt;'Data Considered'!$B$14,OFFSET(Retailer!O11,-'Data Considered'!$B$14,0),0)</f>
        <v>6160</v>
      </c>
      <c r="Q11" s="1">
        <f t="shared" ca="1" si="7"/>
        <v>-2450</v>
      </c>
      <c r="R11" s="1">
        <f ca="1">IF(A11=1,'Data Considered'!$B$16,Retailer!R10+Retailer!Q11)</f>
        <v>21250</v>
      </c>
      <c r="S11" s="1">
        <f ca="1">J11*'Data Considered'!$D$7</f>
        <v>220</v>
      </c>
      <c r="T11" s="1">
        <f ca="1">L11*'Data Considered'!$B$20</f>
        <v>30</v>
      </c>
      <c r="U11" s="1">
        <f ca="1">K11*'Data Considered'!$B$24</f>
        <v>0</v>
      </c>
      <c r="V11" s="1">
        <f t="shared" ca="1" si="8"/>
        <v>1</v>
      </c>
      <c r="W11" s="1">
        <f ca="1">V11+'Data Considered'!$B$13-'Data Considered'!$B$14</f>
        <v>-1</v>
      </c>
      <c r="X11" s="1">
        <f t="shared" ca="1" si="9"/>
        <v>6380</v>
      </c>
      <c r="Y11" s="1">
        <f t="shared" ca="1" si="10"/>
        <v>3960</v>
      </c>
    </row>
    <row r="12" spans="1:25" x14ac:dyDescent="0.3">
      <c r="A12" s="1">
        <f t="shared" si="11"/>
        <v>11</v>
      </c>
      <c r="B12" s="1">
        <f>Demand!B12</f>
        <v>23</v>
      </c>
      <c r="C12" s="1">
        <f t="shared" si="13"/>
        <v>20</v>
      </c>
      <c r="D12" s="1">
        <f t="shared" si="4"/>
        <v>60</v>
      </c>
      <c r="E12" s="1">
        <f ca="1">Distributor!J11</f>
        <v>0</v>
      </c>
      <c r="F12" s="1">
        <f ca="1">IF(A12=1,'Data Considered'!$B$5,Retailer!L11+Retailer!E12)</f>
        <v>2</v>
      </c>
      <c r="G12" s="1">
        <f t="shared" ca="1" si="0"/>
        <v>20</v>
      </c>
      <c r="H12" s="1">
        <f t="shared" ca="1" si="1"/>
        <v>40</v>
      </c>
      <c r="I12" s="1">
        <f t="shared" ca="1" si="5"/>
        <v>2</v>
      </c>
      <c r="J12" s="1">
        <f t="shared" ca="1" si="2"/>
        <v>2</v>
      </c>
      <c r="K12" s="1">
        <f t="shared" ca="1" si="12"/>
        <v>21</v>
      </c>
      <c r="L12" s="1">
        <f t="shared" ca="1" si="6"/>
        <v>0</v>
      </c>
      <c r="M12" s="1">
        <f ca="1">J12*'Data Considered'!$B$7</f>
        <v>360</v>
      </c>
      <c r="N12" s="1">
        <f ca="1">IF(A12&gt;'Data Considered'!$B$13,OFFSET(Retailer!M12,-'Data Considered'!$B$13,0),0)</f>
        <v>360</v>
      </c>
      <c r="O12" s="1">
        <f ca="1">E12*'Data Considered'!$B$8</f>
        <v>0</v>
      </c>
      <c r="P12" s="1">
        <f ca="1">IF(A12&gt;'Data Considered'!$B$14,OFFSET(Retailer!O12,-'Data Considered'!$B$14,0),0)</f>
        <v>980</v>
      </c>
      <c r="Q12" s="1">
        <f t="shared" ca="1" si="7"/>
        <v>-640</v>
      </c>
      <c r="R12" s="1">
        <f ca="1">IF(A12=1,'Data Considered'!$B$16,Retailer!R11+Retailer!Q12)</f>
        <v>20610</v>
      </c>
      <c r="S12" s="1">
        <f ca="1">J12*'Data Considered'!$D$7</f>
        <v>20</v>
      </c>
      <c r="T12" s="1">
        <f ca="1">L12*'Data Considered'!$B$20</f>
        <v>0</v>
      </c>
      <c r="U12" s="1">
        <f ca="1">K12*'Data Considered'!$B$24</f>
        <v>840</v>
      </c>
      <c r="V12" s="1">
        <f t="shared" ca="1" si="8"/>
        <v>0</v>
      </c>
      <c r="W12" s="1">
        <f ca="1">V12+'Data Considered'!$B$13-'Data Considered'!$B$14</f>
        <v>-2</v>
      </c>
      <c r="X12" s="1">
        <f t="shared" ca="1" si="9"/>
        <v>1000</v>
      </c>
      <c r="Y12" s="1">
        <f t="shared" ca="1" si="10"/>
        <v>360</v>
      </c>
    </row>
    <row r="13" spans="1:25" x14ac:dyDescent="0.3">
      <c r="A13" s="1">
        <f t="shared" si="11"/>
        <v>12</v>
      </c>
      <c r="B13" s="1">
        <f>Demand!B13</f>
        <v>24</v>
      </c>
      <c r="C13" s="1">
        <f t="shared" si="13"/>
        <v>23</v>
      </c>
      <c r="D13" s="1">
        <f t="shared" si="4"/>
        <v>69</v>
      </c>
      <c r="E13" s="1">
        <f ca="1">Distributor!J12</f>
        <v>18</v>
      </c>
      <c r="F13" s="1">
        <f ca="1">IF(A13=1,'Data Considered'!$B$5,Retailer!L12+Retailer!E13)</f>
        <v>18</v>
      </c>
      <c r="G13" s="1">
        <f t="shared" ca="1" si="0"/>
        <v>58</v>
      </c>
      <c r="H13" s="1">
        <f t="shared" ca="1" si="1"/>
        <v>11</v>
      </c>
      <c r="I13" s="1">
        <f t="shared" ca="1" si="5"/>
        <v>18</v>
      </c>
      <c r="J13" s="1">
        <f t="shared" ca="1" si="2"/>
        <v>18</v>
      </c>
      <c r="K13" s="1">
        <f t="shared" ca="1" si="12"/>
        <v>6</v>
      </c>
      <c r="L13" s="1">
        <f t="shared" ca="1" si="6"/>
        <v>0</v>
      </c>
      <c r="M13" s="1">
        <f ca="1">J13*'Data Considered'!$B$7</f>
        <v>3240</v>
      </c>
      <c r="N13" s="1">
        <f ca="1">IF(A13&gt;'Data Considered'!$B$13,OFFSET(Retailer!M13,-'Data Considered'!$B$13,0),0)</f>
        <v>3240</v>
      </c>
      <c r="O13" s="1">
        <f ca="1">E13*'Data Considered'!$B$8</f>
        <v>2520</v>
      </c>
      <c r="P13" s="1">
        <f ca="1">IF(A13&gt;'Data Considered'!$B$14,OFFSET(Retailer!O13,-'Data Considered'!$B$14,0),0)</f>
        <v>0</v>
      </c>
      <c r="Q13" s="1">
        <f t="shared" ca="1" si="7"/>
        <v>3060</v>
      </c>
      <c r="R13" s="1">
        <f ca="1">IF(A13=1,'Data Considered'!$B$16,Retailer!R12+Retailer!Q13)</f>
        <v>23670</v>
      </c>
      <c r="S13" s="1">
        <f ca="1">J13*'Data Considered'!$D$7</f>
        <v>180</v>
      </c>
      <c r="T13" s="1">
        <f ca="1">L13*'Data Considered'!$B$20</f>
        <v>0</v>
      </c>
      <c r="U13" s="1">
        <f ca="1">K13*'Data Considered'!$B$24</f>
        <v>240</v>
      </c>
      <c r="V13" s="1">
        <f t="shared" ca="1" si="8"/>
        <v>0</v>
      </c>
      <c r="W13" s="1">
        <f ca="1">V13+'Data Considered'!$B$13-'Data Considered'!$B$14</f>
        <v>-2</v>
      </c>
      <c r="X13" s="1">
        <f t="shared" ca="1" si="9"/>
        <v>180</v>
      </c>
      <c r="Y13" s="1">
        <f t="shared" ca="1" si="10"/>
        <v>3240</v>
      </c>
    </row>
    <row r="14" spans="1:25" x14ac:dyDescent="0.3">
      <c r="A14" s="1">
        <f t="shared" si="11"/>
        <v>13</v>
      </c>
      <c r="B14" s="1">
        <f>Demand!B14</f>
        <v>20</v>
      </c>
      <c r="C14" s="1">
        <f t="shared" si="13"/>
        <v>24</v>
      </c>
      <c r="D14" s="1">
        <f t="shared" si="4"/>
        <v>72</v>
      </c>
      <c r="E14" s="1">
        <f ca="1">Distributor!J13</f>
        <v>32</v>
      </c>
      <c r="F14" s="1">
        <f ca="1">IF(A14=1,'Data Considered'!$B$5,Retailer!L13+Retailer!E14)</f>
        <v>32</v>
      </c>
      <c r="G14" s="1">
        <f t="shared" ca="1" si="0"/>
        <v>43</v>
      </c>
      <c r="H14" s="1">
        <f t="shared" ca="1" si="1"/>
        <v>29</v>
      </c>
      <c r="I14" s="1">
        <f t="shared" ca="1" si="5"/>
        <v>32</v>
      </c>
      <c r="J14" s="1">
        <f t="shared" ca="1" si="2"/>
        <v>20</v>
      </c>
      <c r="K14" s="1">
        <f t="shared" ca="1" si="12"/>
        <v>0</v>
      </c>
      <c r="L14" s="1">
        <f t="shared" ca="1" si="6"/>
        <v>12</v>
      </c>
      <c r="M14" s="1">
        <f ca="1">J14*'Data Considered'!$B$7</f>
        <v>3600</v>
      </c>
      <c r="N14" s="1">
        <f ca="1">IF(A14&gt;'Data Considered'!$B$13,OFFSET(Retailer!M14,-'Data Considered'!$B$13,0),0)</f>
        <v>3600</v>
      </c>
      <c r="O14" s="1">
        <f ca="1">E14*'Data Considered'!$B$8</f>
        <v>4480</v>
      </c>
      <c r="P14" s="1">
        <f ca="1">IF(A14&gt;'Data Considered'!$B$14,OFFSET(Retailer!O14,-'Data Considered'!$B$14,0),0)</f>
        <v>0</v>
      </c>
      <c r="Q14" s="1">
        <f t="shared" ca="1" si="7"/>
        <v>3220</v>
      </c>
      <c r="R14" s="1">
        <f ca="1">IF(A14=1,'Data Considered'!$B$16,Retailer!R13+Retailer!Q14)</f>
        <v>26890</v>
      </c>
      <c r="S14" s="1">
        <f ca="1">J14*'Data Considered'!$D$7</f>
        <v>200</v>
      </c>
      <c r="T14" s="1">
        <f ca="1">L14*'Data Considered'!$B$20</f>
        <v>180</v>
      </c>
      <c r="U14" s="1">
        <f ca="1">K14*'Data Considered'!$B$24</f>
        <v>0</v>
      </c>
      <c r="V14" s="1">
        <f t="shared" ca="1" si="8"/>
        <v>1</v>
      </c>
      <c r="W14" s="1">
        <f ca="1">V14+'Data Considered'!$B$13-'Data Considered'!$B$14</f>
        <v>-1</v>
      </c>
      <c r="X14" s="1">
        <f t="shared" ca="1" si="9"/>
        <v>200</v>
      </c>
      <c r="Y14" s="1">
        <f t="shared" ca="1" si="10"/>
        <v>3600</v>
      </c>
    </row>
    <row r="15" spans="1:25" x14ac:dyDescent="0.3">
      <c r="A15" s="1">
        <f t="shared" si="11"/>
        <v>14</v>
      </c>
      <c r="B15" s="1">
        <f>Demand!B15</f>
        <v>24</v>
      </c>
      <c r="C15" s="1">
        <f t="shared" si="13"/>
        <v>22</v>
      </c>
      <c r="D15" s="1">
        <f t="shared" si="4"/>
        <v>66</v>
      </c>
      <c r="E15" s="1">
        <f ca="1">Distributor!J14</f>
        <v>0</v>
      </c>
      <c r="F15" s="1">
        <f ca="1">IF(A15=1,'Data Considered'!$B$5,Retailer!L14+Retailer!E15)</f>
        <v>12</v>
      </c>
      <c r="G15" s="1">
        <f t="shared" ca="1" si="0"/>
        <v>41</v>
      </c>
      <c r="H15" s="1">
        <f t="shared" ca="1" si="1"/>
        <v>25</v>
      </c>
      <c r="I15" s="1">
        <f t="shared" ca="1" si="5"/>
        <v>12</v>
      </c>
      <c r="J15" s="1">
        <f t="shared" ca="1" si="2"/>
        <v>12</v>
      </c>
      <c r="K15" s="1">
        <f t="shared" ca="1" si="12"/>
        <v>12</v>
      </c>
      <c r="L15" s="1">
        <f t="shared" ca="1" si="6"/>
        <v>0</v>
      </c>
      <c r="M15" s="1">
        <f ca="1">J15*'Data Considered'!$B$7</f>
        <v>2160</v>
      </c>
      <c r="N15" s="1">
        <f ca="1">IF(A15&gt;'Data Considered'!$B$13,OFFSET(Retailer!M15,-'Data Considered'!$B$13,0),0)</f>
        <v>2160</v>
      </c>
      <c r="O15" s="1">
        <f ca="1">E15*'Data Considered'!$B$8</f>
        <v>0</v>
      </c>
      <c r="P15" s="1">
        <f ca="1">IF(A15&gt;'Data Considered'!$B$14,OFFSET(Retailer!O15,-'Data Considered'!$B$14,0),0)</f>
        <v>2520</v>
      </c>
      <c r="Q15" s="1">
        <f t="shared" ca="1" si="7"/>
        <v>-480</v>
      </c>
      <c r="R15" s="1">
        <f ca="1">IF(A15=1,'Data Considered'!$B$16,Retailer!R14+Retailer!Q15)</f>
        <v>26410</v>
      </c>
      <c r="S15" s="1">
        <f ca="1">J15*'Data Considered'!$D$7</f>
        <v>120</v>
      </c>
      <c r="T15" s="1">
        <f ca="1">L15*'Data Considered'!$B$20</f>
        <v>0</v>
      </c>
      <c r="U15" s="1">
        <f ca="1">K15*'Data Considered'!$B$24</f>
        <v>480</v>
      </c>
      <c r="V15" s="1">
        <f t="shared" ca="1" si="8"/>
        <v>0</v>
      </c>
      <c r="W15" s="1">
        <f ca="1">V15+'Data Considered'!$B$13-'Data Considered'!$B$14</f>
        <v>-2</v>
      </c>
      <c r="X15" s="1">
        <f t="shared" ca="1" si="9"/>
        <v>2640</v>
      </c>
      <c r="Y15" s="1">
        <f t="shared" ca="1" si="10"/>
        <v>2160</v>
      </c>
    </row>
    <row r="16" spans="1:25" x14ac:dyDescent="0.3">
      <c r="A16" s="1">
        <f t="shared" si="11"/>
        <v>15</v>
      </c>
      <c r="B16" s="1">
        <f>Demand!B16</f>
        <v>20</v>
      </c>
      <c r="C16" s="1">
        <f t="shared" si="13"/>
        <v>22</v>
      </c>
      <c r="D16" s="1">
        <f t="shared" si="4"/>
        <v>66</v>
      </c>
      <c r="E16" s="1">
        <f ca="1">Distributor!J15</f>
        <v>0</v>
      </c>
      <c r="F16" s="1">
        <f ca="1">IF(A16=1,'Data Considered'!$B$5,Retailer!L15+Retailer!E16)</f>
        <v>0</v>
      </c>
      <c r="G16" s="1">
        <f t="shared" ca="1" si="0"/>
        <v>25</v>
      </c>
      <c r="H16" s="1">
        <f t="shared" ca="1" si="1"/>
        <v>41</v>
      </c>
      <c r="I16" s="1">
        <f t="shared" ca="1" si="5"/>
        <v>0</v>
      </c>
      <c r="J16" s="1">
        <f t="shared" ca="1" si="2"/>
        <v>0</v>
      </c>
      <c r="K16" s="1">
        <f t="shared" ca="1" si="12"/>
        <v>20</v>
      </c>
      <c r="L16" s="1">
        <f t="shared" ca="1" si="6"/>
        <v>0</v>
      </c>
      <c r="M16" s="1">
        <f ca="1">J16*'Data Considered'!$B$7</f>
        <v>0</v>
      </c>
      <c r="N16" s="1">
        <f ca="1">IF(A16&gt;'Data Considered'!$B$13,OFFSET(Retailer!M16,-'Data Considered'!$B$13,0),0)</f>
        <v>0</v>
      </c>
      <c r="O16" s="1">
        <f ca="1">E16*'Data Considered'!$B$8</f>
        <v>0</v>
      </c>
      <c r="P16" s="1">
        <f ca="1">IF(A16&gt;'Data Considered'!$B$14,OFFSET(Retailer!O16,-'Data Considered'!$B$14,0),0)</f>
        <v>4480</v>
      </c>
      <c r="Q16" s="1">
        <f t="shared" ca="1" si="7"/>
        <v>-4480</v>
      </c>
      <c r="R16" s="1">
        <f ca="1">IF(A16=1,'Data Considered'!$B$16,Retailer!R15+Retailer!Q16)</f>
        <v>21930</v>
      </c>
      <c r="S16" s="1">
        <f ca="1">J16*'Data Considered'!$D$7</f>
        <v>0</v>
      </c>
      <c r="T16" s="1">
        <f ca="1">L16*'Data Considered'!$B$20</f>
        <v>0</v>
      </c>
      <c r="U16" s="1">
        <f ca="1">K16*'Data Considered'!$B$24</f>
        <v>800</v>
      </c>
      <c r="V16" s="1">
        <f t="shared" ca="1" si="8"/>
        <v>0</v>
      </c>
      <c r="W16" s="1">
        <f ca="1">V16+'Data Considered'!$B$13-'Data Considered'!$B$14</f>
        <v>-2</v>
      </c>
      <c r="X16" s="1">
        <f t="shared" ca="1" si="9"/>
        <v>4480</v>
      </c>
      <c r="Y16" s="1">
        <f t="shared" ca="1" si="10"/>
        <v>0</v>
      </c>
    </row>
    <row r="17" spans="1:25" x14ac:dyDescent="0.3">
      <c r="A17" s="1">
        <f t="shared" si="11"/>
        <v>16</v>
      </c>
      <c r="B17" s="1">
        <f>Demand!B17</f>
        <v>19</v>
      </c>
      <c r="C17" s="1">
        <f t="shared" si="13"/>
        <v>22</v>
      </c>
      <c r="D17" s="1">
        <f t="shared" si="4"/>
        <v>66</v>
      </c>
      <c r="E17" s="1">
        <f ca="1">Distributor!J16</f>
        <v>25</v>
      </c>
      <c r="F17" s="1">
        <f ca="1">IF(A17=1,'Data Considered'!$B$5,Retailer!L16+Retailer!E17)</f>
        <v>25</v>
      </c>
      <c r="G17" s="1">
        <f t="shared" ca="1" si="0"/>
        <v>66</v>
      </c>
      <c r="H17" s="1">
        <f t="shared" ca="1" si="1"/>
        <v>0</v>
      </c>
      <c r="I17" s="1">
        <f t="shared" ca="1" si="5"/>
        <v>25</v>
      </c>
      <c r="J17" s="1">
        <f t="shared" ca="1" si="2"/>
        <v>19</v>
      </c>
      <c r="K17" s="1">
        <f t="shared" ca="1" si="12"/>
        <v>0</v>
      </c>
      <c r="L17" s="1">
        <f t="shared" ca="1" si="6"/>
        <v>6</v>
      </c>
      <c r="M17" s="1">
        <f ca="1">J17*'Data Considered'!$B$7</f>
        <v>3420</v>
      </c>
      <c r="N17" s="1">
        <f ca="1">IF(A17&gt;'Data Considered'!$B$13,OFFSET(Retailer!M17,-'Data Considered'!$B$13,0),0)</f>
        <v>3420</v>
      </c>
      <c r="O17" s="1">
        <f ca="1">E17*'Data Considered'!$B$8</f>
        <v>3500</v>
      </c>
      <c r="P17" s="1">
        <f ca="1">IF(A17&gt;'Data Considered'!$B$14,OFFSET(Retailer!O17,-'Data Considered'!$B$14,0),0)</f>
        <v>0</v>
      </c>
      <c r="Q17" s="1">
        <f t="shared" ca="1" si="7"/>
        <v>3140</v>
      </c>
      <c r="R17" s="1">
        <f ca="1">IF(A17=1,'Data Considered'!$B$16,Retailer!R16+Retailer!Q17)</f>
        <v>25070</v>
      </c>
      <c r="S17" s="1">
        <f ca="1">J17*'Data Considered'!$D$7</f>
        <v>190</v>
      </c>
      <c r="T17" s="1">
        <f ca="1">L17*'Data Considered'!$B$20</f>
        <v>90</v>
      </c>
      <c r="U17" s="1">
        <f ca="1">K17*'Data Considered'!$B$24</f>
        <v>0</v>
      </c>
      <c r="V17" s="1">
        <f t="shared" ca="1" si="8"/>
        <v>1</v>
      </c>
      <c r="W17" s="1">
        <f ca="1">V17+'Data Considered'!$B$13-'Data Considered'!$B$14</f>
        <v>-1</v>
      </c>
      <c r="X17" s="1">
        <f t="shared" ca="1" si="9"/>
        <v>190</v>
      </c>
      <c r="Y17" s="1">
        <f t="shared" ca="1" si="10"/>
        <v>3420</v>
      </c>
    </row>
    <row r="18" spans="1:25" x14ac:dyDescent="0.3">
      <c r="A18" s="1">
        <f t="shared" si="11"/>
        <v>17</v>
      </c>
      <c r="B18" s="1">
        <f>Demand!B18</f>
        <v>17</v>
      </c>
      <c r="C18" s="1">
        <f t="shared" si="13"/>
        <v>20</v>
      </c>
      <c r="D18" s="1">
        <f t="shared" si="4"/>
        <v>60</v>
      </c>
      <c r="E18" s="1">
        <f ca="1">Distributor!J17</f>
        <v>41</v>
      </c>
      <c r="F18" s="1">
        <f ca="1">IF(A18=1,'Data Considered'!$B$5,Retailer!L17+Retailer!E18)</f>
        <v>47</v>
      </c>
      <c r="G18" s="1">
        <f t="shared" ca="1" si="0"/>
        <v>47</v>
      </c>
      <c r="H18" s="1">
        <f t="shared" ca="1" si="1"/>
        <v>13</v>
      </c>
      <c r="I18" s="1">
        <f t="shared" ca="1" si="5"/>
        <v>47</v>
      </c>
      <c r="J18" s="1">
        <f t="shared" ca="1" si="2"/>
        <v>17</v>
      </c>
      <c r="K18" s="1">
        <f t="shared" ca="1" si="12"/>
        <v>0</v>
      </c>
      <c r="L18" s="1">
        <f t="shared" ca="1" si="6"/>
        <v>30</v>
      </c>
      <c r="M18" s="1">
        <f ca="1">J18*'Data Considered'!$B$7</f>
        <v>3060</v>
      </c>
      <c r="N18" s="1">
        <f ca="1">IF(A18&gt;'Data Considered'!$B$13,OFFSET(Retailer!M18,-'Data Considered'!$B$13,0),0)</f>
        <v>3060</v>
      </c>
      <c r="O18" s="1">
        <f ca="1">E18*'Data Considered'!$B$8</f>
        <v>5740</v>
      </c>
      <c r="P18" s="1">
        <f ca="1">IF(A18&gt;'Data Considered'!$B$14,OFFSET(Retailer!O18,-'Data Considered'!$B$14,0),0)</f>
        <v>0</v>
      </c>
      <c r="Q18" s="1">
        <f t="shared" ca="1" si="7"/>
        <v>2440</v>
      </c>
      <c r="R18" s="1">
        <f ca="1">IF(A18=1,'Data Considered'!$B$16,Retailer!R17+Retailer!Q18)</f>
        <v>27510</v>
      </c>
      <c r="S18" s="1">
        <f ca="1">J18*'Data Considered'!$D$7</f>
        <v>170</v>
      </c>
      <c r="T18" s="1">
        <f ca="1">L18*'Data Considered'!$B$20</f>
        <v>450</v>
      </c>
      <c r="U18" s="1">
        <f ca="1">K18*'Data Considered'!$B$24</f>
        <v>0</v>
      </c>
      <c r="V18" s="1">
        <f t="shared" ca="1" si="8"/>
        <v>2</v>
      </c>
      <c r="W18" s="1">
        <f ca="1">V18+'Data Considered'!$B$13-'Data Considered'!$B$14</f>
        <v>0</v>
      </c>
      <c r="X18" s="1">
        <f t="shared" ca="1" si="9"/>
        <v>170</v>
      </c>
      <c r="Y18" s="1">
        <f t="shared" ca="1" si="10"/>
        <v>3060</v>
      </c>
    </row>
    <row r="19" spans="1:25" x14ac:dyDescent="0.3">
      <c r="A19" s="1">
        <f t="shared" si="11"/>
        <v>18</v>
      </c>
      <c r="B19" s="1">
        <f>Demand!B19</f>
        <v>17</v>
      </c>
      <c r="C19" s="1">
        <f t="shared" si="13"/>
        <v>18</v>
      </c>
      <c r="D19" s="1">
        <f t="shared" si="4"/>
        <v>54</v>
      </c>
      <c r="E19" s="1">
        <f ca="1">Distributor!J18</f>
        <v>0</v>
      </c>
      <c r="F19" s="1">
        <f ca="1">IF(A19=1,'Data Considered'!$B$5,Retailer!L18+Retailer!E19)</f>
        <v>30</v>
      </c>
      <c r="G19" s="1">
        <f t="shared" ca="1" si="0"/>
        <v>43</v>
      </c>
      <c r="H19" s="1">
        <f t="shared" ca="1" si="1"/>
        <v>11</v>
      </c>
      <c r="I19" s="1">
        <f t="shared" ca="1" si="5"/>
        <v>30</v>
      </c>
      <c r="J19" s="1">
        <f t="shared" ca="1" si="2"/>
        <v>17</v>
      </c>
      <c r="K19" s="1">
        <f t="shared" ca="1" si="12"/>
        <v>0</v>
      </c>
      <c r="L19" s="1">
        <f t="shared" ca="1" si="6"/>
        <v>13</v>
      </c>
      <c r="M19" s="1">
        <f ca="1">J19*'Data Considered'!$B$7</f>
        <v>3060</v>
      </c>
      <c r="N19" s="1">
        <f ca="1">IF(A19&gt;'Data Considered'!$B$13,OFFSET(Retailer!M19,-'Data Considered'!$B$13,0),0)</f>
        <v>3060</v>
      </c>
      <c r="O19" s="1">
        <f ca="1">E19*'Data Considered'!$B$8</f>
        <v>0</v>
      </c>
      <c r="P19" s="1">
        <f ca="1">IF(A19&gt;'Data Considered'!$B$14,OFFSET(Retailer!O19,-'Data Considered'!$B$14,0),0)</f>
        <v>3500</v>
      </c>
      <c r="Q19" s="1">
        <f t="shared" ca="1" si="7"/>
        <v>-805</v>
      </c>
      <c r="R19" s="1">
        <f ca="1">IF(A19=1,'Data Considered'!$B$16,Retailer!R18+Retailer!Q19)</f>
        <v>26705</v>
      </c>
      <c r="S19" s="1">
        <f ca="1">J19*'Data Considered'!$D$7</f>
        <v>170</v>
      </c>
      <c r="T19" s="1">
        <f ca="1">L19*'Data Considered'!$B$20</f>
        <v>195</v>
      </c>
      <c r="U19" s="1">
        <f ca="1">K19*'Data Considered'!$B$24</f>
        <v>0</v>
      </c>
      <c r="V19" s="1">
        <f t="shared" ca="1" si="8"/>
        <v>1</v>
      </c>
      <c r="W19" s="1">
        <f ca="1">V19+'Data Considered'!$B$13-'Data Considered'!$B$14</f>
        <v>-1</v>
      </c>
      <c r="X19" s="1">
        <f t="shared" ca="1" si="9"/>
        <v>3670</v>
      </c>
      <c r="Y19" s="1">
        <f t="shared" ca="1" si="10"/>
        <v>3060</v>
      </c>
    </row>
    <row r="20" spans="1:25" x14ac:dyDescent="0.3">
      <c r="A20" s="1">
        <f t="shared" si="11"/>
        <v>19</v>
      </c>
      <c r="B20" s="1">
        <f>Demand!B20</f>
        <v>14</v>
      </c>
      <c r="C20" s="1">
        <f t="shared" si="13"/>
        <v>17</v>
      </c>
      <c r="D20" s="1">
        <f t="shared" si="4"/>
        <v>51</v>
      </c>
      <c r="E20" s="1">
        <f ca="1">Distributor!J19</f>
        <v>13</v>
      </c>
      <c r="F20" s="1">
        <f ca="1">IF(A20=1,'Data Considered'!$B$5,Retailer!L19+Retailer!E20)</f>
        <v>26</v>
      </c>
      <c r="G20" s="1">
        <f t="shared" ca="1" si="0"/>
        <v>37</v>
      </c>
      <c r="H20" s="1">
        <f t="shared" ca="1" si="1"/>
        <v>14</v>
      </c>
      <c r="I20" s="1">
        <f t="shared" ca="1" si="5"/>
        <v>26</v>
      </c>
      <c r="J20" s="1">
        <f t="shared" ca="1" si="2"/>
        <v>14</v>
      </c>
      <c r="K20" s="1">
        <f t="shared" ca="1" si="12"/>
        <v>0</v>
      </c>
      <c r="L20" s="1">
        <f t="shared" ca="1" si="6"/>
        <v>12</v>
      </c>
      <c r="M20" s="1">
        <f ca="1">J20*'Data Considered'!$B$7</f>
        <v>2520</v>
      </c>
      <c r="N20" s="1">
        <f ca="1">IF(A20&gt;'Data Considered'!$B$13,OFFSET(Retailer!M20,-'Data Considered'!$B$13,0),0)</f>
        <v>2520</v>
      </c>
      <c r="O20" s="1">
        <f ca="1">E20*'Data Considered'!$B$8</f>
        <v>1820</v>
      </c>
      <c r="P20" s="1">
        <f ca="1">IF(A20&gt;'Data Considered'!$B$14,OFFSET(Retailer!O20,-'Data Considered'!$B$14,0),0)</f>
        <v>5740</v>
      </c>
      <c r="Q20" s="1">
        <f t="shared" ca="1" si="7"/>
        <v>-3540</v>
      </c>
      <c r="R20" s="1">
        <f ca="1">IF(A20=1,'Data Considered'!$B$16,Retailer!R19+Retailer!Q20)</f>
        <v>23165</v>
      </c>
      <c r="S20" s="1">
        <f ca="1">J20*'Data Considered'!$D$7</f>
        <v>140</v>
      </c>
      <c r="T20" s="1">
        <f ca="1">L20*'Data Considered'!$B$20</f>
        <v>180</v>
      </c>
      <c r="U20" s="1">
        <f ca="1">K20*'Data Considered'!$B$24</f>
        <v>0</v>
      </c>
      <c r="V20" s="1">
        <f t="shared" ca="1" si="8"/>
        <v>1</v>
      </c>
      <c r="W20" s="1">
        <f ca="1">V20+'Data Considered'!$B$13-'Data Considered'!$B$14</f>
        <v>-1</v>
      </c>
      <c r="X20" s="1">
        <f t="shared" ca="1" si="9"/>
        <v>5880</v>
      </c>
      <c r="Y20" s="1">
        <f t="shared" ca="1" si="10"/>
        <v>2520</v>
      </c>
    </row>
    <row r="21" spans="1:25" x14ac:dyDescent="0.3">
      <c r="A21" s="1">
        <f t="shared" si="11"/>
        <v>20</v>
      </c>
      <c r="B21" s="1">
        <f>Demand!B21</f>
        <v>27</v>
      </c>
      <c r="C21" s="1">
        <f t="shared" si="13"/>
        <v>16</v>
      </c>
      <c r="D21" s="1">
        <f t="shared" si="4"/>
        <v>48</v>
      </c>
      <c r="E21" s="1">
        <f ca="1">Distributor!J20</f>
        <v>11</v>
      </c>
      <c r="F21" s="1">
        <f ca="1">IF(A21=1,'Data Considered'!$B$5,Retailer!L20+Retailer!E21)</f>
        <v>23</v>
      </c>
      <c r="G21" s="1">
        <f t="shared" ca="1" si="0"/>
        <v>37</v>
      </c>
      <c r="H21" s="1">
        <f t="shared" ca="1" si="1"/>
        <v>11</v>
      </c>
      <c r="I21" s="1">
        <f t="shared" ca="1" si="5"/>
        <v>23</v>
      </c>
      <c r="J21" s="1">
        <f t="shared" ca="1" si="2"/>
        <v>23</v>
      </c>
      <c r="K21" s="1">
        <f t="shared" ca="1" si="12"/>
        <v>4</v>
      </c>
      <c r="L21" s="1">
        <f t="shared" ca="1" si="6"/>
        <v>0</v>
      </c>
      <c r="M21" s="1">
        <f ca="1">J21*'Data Considered'!$B$7</f>
        <v>4140</v>
      </c>
      <c r="N21" s="1">
        <f ca="1">IF(A21&gt;'Data Considered'!$B$13,OFFSET(Retailer!M21,-'Data Considered'!$B$13,0),0)</f>
        <v>4140</v>
      </c>
      <c r="O21" s="1">
        <f ca="1">E21*'Data Considered'!$B$8</f>
        <v>1540</v>
      </c>
      <c r="P21" s="1">
        <f ca="1">IF(A21&gt;'Data Considered'!$B$14,OFFSET(Retailer!O21,-'Data Considered'!$B$14,0),0)</f>
        <v>0</v>
      </c>
      <c r="Q21" s="1">
        <f t="shared" ca="1" si="7"/>
        <v>3910</v>
      </c>
      <c r="R21" s="1">
        <f ca="1">IF(A21=1,'Data Considered'!$B$16,Retailer!R20+Retailer!Q21)</f>
        <v>27075</v>
      </c>
      <c r="S21" s="1">
        <f ca="1">J21*'Data Considered'!$D$7</f>
        <v>230</v>
      </c>
      <c r="T21" s="1">
        <f ca="1">L21*'Data Considered'!$B$20</f>
        <v>0</v>
      </c>
      <c r="U21" s="1">
        <f ca="1">K21*'Data Considered'!$B$24</f>
        <v>160</v>
      </c>
      <c r="V21" s="1">
        <f t="shared" ca="1" si="8"/>
        <v>0</v>
      </c>
      <c r="W21" s="1">
        <f ca="1">V21+'Data Considered'!$B$13-'Data Considered'!$B$14</f>
        <v>-2</v>
      </c>
      <c r="X21" s="1">
        <f t="shared" ca="1" si="9"/>
        <v>230</v>
      </c>
      <c r="Y21" s="1">
        <f t="shared" ca="1" si="10"/>
        <v>4140</v>
      </c>
    </row>
    <row r="22" spans="1:25" x14ac:dyDescent="0.3">
      <c r="A22" s="1">
        <f t="shared" si="11"/>
        <v>21</v>
      </c>
      <c r="B22" s="1">
        <f>Demand!B22</f>
        <v>20</v>
      </c>
      <c r="C22" s="1">
        <f t="shared" si="13"/>
        <v>21</v>
      </c>
      <c r="D22" s="1">
        <f t="shared" si="4"/>
        <v>63</v>
      </c>
      <c r="E22" s="1">
        <f ca="1">Distributor!J21</f>
        <v>14</v>
      </c>
      <c r="F22" s="1">
        <f ca="1">IF(A22=1,'Data Considered'!$B$5,Retailer!L21+Retailer!E22)</f>
        <v>14</v>
      </c>
      <c r="G22" s="1">
        <f t="shared" ca="1" si="0"/>
        <v>25</v>
      </c>
      <c r="H22" s="1">
        <f t="shared" ca="1" si="1"/>
        <v>38</v>
      </c>
      <c r="I22" s="1">
        <f t="shared" ca="1" si="5"/>
        <v>14</v>
      </c>
      <c r="J22" s="1">
        <f t="shared" ca="1" si="2"/>
        <v>14</v>
      </c>
      <c r="K22" s="1">
        <f t="shared" ca="1" si="12"/>
        <v>6</v>
      </c>
      <c r="L22" s="1">
        <f t="shared" ca="1" si="6"/>
        <v>0</v>
      </c>
      <c r="M22" s="1">
        <f ca="1">J22*'Data Considered'!$B$7</f>
        <v>2520</v>
      </c>
      <c r="N22" s="1">
        <f ca="1">IF(A22&gt;'Data Considered'!$B$13,OFFSET(Retailer!M22,-'Data Considered'!$B$13,0),0)</f>
        <v>2520</v>
      </c>
      <c r="O22" s="1">
        <f ca="1">E22*'Data Considered'!$B$8</f>
        <v>1960</v>
      </c>
      <c r="P22" s="1">
        <f ca="1">IF(A22&gt;'Data Considered'!$B$14,OFFSET(Retailer!O22,-'Data Considered'!$B$14,0),0)</f>
        <v>1820</v>
      </c>
      <c r="Q22" s="1">
        <f t="shared" ca="1" si="7"/>
        <v>560</v>
      </c>
      <c r="R22" s="1">
        <f ca="1">IF(A22=1,'Data Considered'!$B$16,Retailer!R21+Retailer!Q22)</f>
        <v>27635</v>
      </c>
      <c r="S22" s="1">
        <f ca="1">J22*'Data Considered'!$D$7</f>
        <v>140</v>
      </c>
      <c r="T22" s="1">
        <f ca="1">L22*'Data Considered'!$B$20</f>
        <v>0</v>
      </c>
      <c r="U22" s="1">
        <f ca="1">K22*'Data Considered'!$B$24</f>
        <v>240</v>
      </c>
      <c r="V22" s="1">
        <f t="shared" ca="1" si="8"/>
        <v>0</v>
      </c>
      <c r="W22" s="1">
        <f ca="1">V22+'Data Considered'!$B$13-'Data Considered'!$B$14</f>
        <v>-2</v>
      </c>
      <c r="X22" s="1">
        <f t="shared" ca="1" si="9"/>
        <v>1960</v>
      </c>
      <c r="Y22" s="1">
        <f t="shared" ca="1" si="10"/>
        <v>2520</v>
      </c>
    </row>
    <row r="23" spans="1:25" x14ac:dyDescent="0.3">
      <c r="A23" s="1">
        <f t="shared" si="11"/>
        <v>22</v>
      </c>
      <c r="B23" s="1">
        <f>Demand!B23</f>
        <v>12</v>
      </c>
      <c r="C23" s="1">
        <f t="shared" si="13"/>
        <v>24</v>
      </c>
      <c r="D23" s="1">
        <f t="shared" si="4"/>
        <v>72</v>
      </c>
      <c r="E23" s="1">
        <f ca="1">Distributor!J22</f>
        <v>11</v>
      </c>
      <c r="F23" s="1">
        <f ca="1">IF(A23=1,'Data Considered'!$B$5,Retailer!L22+Retailer!E23)</f>
        <v>11</v>
      </c>
      <c r="G23" s="1">
        <f t="shared" ca="1" si="0"/>
        <v>49</v>
      </c>
      <c r="H23" s="1">
        <f t="shared" ca="1" si="1"/>
        <v>23</v>
      </c>
      <c r="I23" s="1">
        <f t="shared" ca="1" si="5"/>
        <v>11</v>
      </c>
      <c r="J23" s="1">
        <f t="shared" ca="1" si="2"/>
        <v>11</v>
      </c>
      <c r="K23" s="1">
        <f t="shared" ca="1" si="12"/>
        <v>1</v>
      </c>
      <c r="L23" s="1">
        <f t="shared" ca="1" si="6"/>
        <v>0</v>
      </c>
      <c r="M23" s="1">
        <f ca="1">J23*'Data Considered'!$B$7</f>
        <v>1980</v>
      </c>
      <c r="N23" s="1">
        <f ca="1">IF(A23&gt;'Data Considered'!$B$13,OFFSET(Retailer!M23,-'Data Considered'!$B$13,0),0)</f>
        <v>1980</v>
      </c>
      <c r="O23" s="1">
        <f ca="1">E23*'Data Considered'!$B$8</f>
        <v>1540</v>
      </c>
      <c r="P23" s="1">
        <f ca="1">IF(A23&gt;'Data Considered'!$B$14,OFFSET(Retailer!O23,-'Data Considered'!$B$14,0),0)</f>
        <v>1540</v>
      </c>
      <c r="Q23" s="1">
        <f t="shared" ca="1" si="7"/>
        <v>330</v>
      </c>
      <c r="R23" s="1">
        <f ca="1">IF(A23=1,'Data Considered'!$B$16,Retailer!R22+Retailer!Q23)</f>
        <v>27965</v>
      </c>
      <c r="S23" s="1">
        <f ca="1">J23*'Data Considered'!$D$7</f>
        <v>110</v>
      </c>
      <c r="T23" s="1">
        <f ca="1">L23*'Data Considered'!$B$20</f>
        <v>0</v>
      </c>
      <c r="U23" s="1">
        <f ca="1">K23*'Data Considered'!$B$24</f>
        <v>40</v>
      </c>
      <c r="V23" s="1">
        <f t="shared" ca="1" si="8"/>
        <v>0</v>
      </c>
      <c r="W23" s="1">
        <f ca="1">V23+'Data Considered'!$B$13-'Data Considered'!$B$14</f>
        <v>-2</v>
      </c>
      <c r="X23" s="1">
        <f t="shared" ca="1" si="9"/>
        <v>1650</v>
      </c>
      <c r="Y23" s="1">
        <f t="shared" ca="1" si="10"/>
        <v>1980</v>
      </c>
    </row>
    <row r="24" spans="1:25" x14ac:dyDescent="0.3">
      <c r="A24" s="1">
        <f t="shared" si="11"/>
        <v>23</v>
      </c>
      <c r="B24" s="1">
        <f>Demand!B24</f>
        <v>21</v>
      </c>
      <c r="C24" s="1">
        <f t="shared" si="13"/>
        <v>16</v>
      </c>
      <c r="D24" s="1">
        <f t="shared" si="4"/>
        <v>48</v>
      </c>
      <c r="E24" s="1">
        <f ca="1">Distributor!J23</f>
        <v>38</v>
      </c>
      <c r="F24" s="1">
        <f ca="1">IF(A24=1,'Data Considered'!$B$5,Retailer!L23+Retailer!E24)</f>
        <v>38</v>
      </c>
      <c r="G24" s="1">
        <f t="shared" ca="1" si="0"/>
        <v>61</v>
      </c>
      <c r="H24" s="1">
        <f t="shared" ca="1" si="1"/>
        <v>0</v>
      </c>
      <c r="I24" s="1">
        <f t="shared" ca="1" si="5"/>
        <v>38</v>
      </c>
      <c r="J24" s="1">
        <f t="shared" ca="1" si="2"/>
        <v>21</v>
      </c>
      <c r="K24" s="1">
        <f t="shared" ca="1" si="12"/>
        <v>0</v>
      </c>
      <c r="L24" s="1">
        <f t="shared" ca="1" si="6"/>
        <v>17</v>
      </c>
      <c r="M24" s="1">
        <f ca="1">J24*'Data Considered'!$B$7</f>
        <v>3780</v>
      </c>
      <c r="N24" s="1">
        <f ca="1">IF(A24&gt;'Data Considered'!$B$13,OFFSET(Retailer!M24,-'Data Considered'!$B$13,0),0)</f>
        <v>3780</v>
      </c>
      <c r="O24" s="1">
        <f ca="1">E24*'Data Considered'!$B$8</f>
        <v>5320</v>
      </c>
      <c r="P24" s="1">
        <f ca="1">IF(A24&gt;'Data Considered'!$B$14,OFFSET(Retailer!O24,-'Data Considered'!$B$14,0),0)</f>
        <v>1960</v>
      </c>
      <c r="Q24" s="1">
        <f t="shared" ca="1" si="7"/>
        <v>1355</v>
      </c>
      <c r="R24" s="1">
        <f ca="1">IF(A24=1,'Data Considered'!$B$16,Retailer!R23+Retailer!Q24)</f>
        <v>29320</v>
      </c>
      <c r="S24" s="1">
        <f ca="1">J24*'Data Considered'!$D$7</f>
        <v>210</v>
      </c>
      <c r="T24" s="1">
        <f ca="1">L24*'Data Considered'!$B$20</f>
        <v>255</v>
      </c>
      <c r="U24" s="1">
        <f ca="1">K24*'Data Considered'!$B$24</f>
        <v>0</v>
      </c>
      <c r="V24" s="1">
        <f t="shared" ca="1" si="8"/>
        <v>1</v>
      </c>
      <c r="W24" s="1">
        <f ca="1">V24+'Data Considered'!$B$13-'Data Considered'!$B$14</f>
        <v>-1</v>
      </c>
      <c r="X24" s="1">
        <f t="shared" ca="1" si="9"/>
        <v>2170</v>
      </c>
      <c r="Y24" s="1">
        <f t="shared" ca="1" si="10"/>
        <v>3780</v>
      </c>
    </row>
    <row r="25" spans="1:25" x14ac:dyDescent="0.3">
      <c r="A25" s="1">
        <f t="shared" si="11"/>
        <v>24</v>
      </c>
      <c r="B25" s="1">
        <f>Demand!B25</f>
        <v>13</v>
      </c>
      <c r="C25" s="1">
        <f t="shared" si="13"/>
        <v>17</v>
      </c>
      <c r="D25" s="1">
        <f t="shared" si="4"/>
        <v>51</v>
      </c>
      <c r="E25" s="1">
        <f ca="1">Distributor!J24</f>
        <v>12</v>
      </c>
      <c r="F25" s="1">
        <f ca="1">IF(A25=1,'Data Considered'!$B$5,Retailer!L24+Retailer!E25)</f>
        <v>29</v>
      </c>
      <c r="G25" s="1">
        <f t="shared" ca="1" si="0"/>
        <v>29</v>
      </c>
      <c r="H25" s="1">
        <f t="shared" ca="1" si="1"/>
        <v>22</v>
      </c>
      <c r="I25" s="1">
        <f t="shared" ca="1" si="5"/>
        <v>29</v>
      </c>
      <c r="J25" s="1">
        <f t="shared" ca="1" si="2"/>
        <v>13</v>
      </c>
      <c r="K25" s="1">
        <f t="shared" ca="1" si="12"/>
        <v>0</v>
      </c>
      <c r="L25" s="1">
        <f t="shared" ca="1" si="6"/>
        <v>16</v>
      </c>
      <c r="M25" s="1">
        <f ca="1">J25*'Data Considered'!$B$7</f>
        <v>2340</v>
      </c>
      <c r="N25" s="1">
        <f ca="1">IF(A25&gt;'Data Considered'!$B$13,OFFSET(Retailer!M25,-'Data Considered'!$B$13,0),0)</f>
        <v>2340</v>
      </c>
      <c r="O25" s="1">
        <f ca="1">E25*'Data Considered'!$B$8</f>
        <v>1680</v>
      </c>
      <c r="P25" s="1">
        <f ca="1">IF(A25&gt;'Data Considered'!$B$14,OFFSET(Retailer!O25,-'Data Considered'!$B$14,0),0)</f>
        <v>1540</v>
      </c>
      <c r="Q25" s="1">
        <f t="shared" ca="1" si="7"/>
        <v>430</v>
      </c>
      <c r="R25" s="1">
        <f ca="1">IF(A25=1,'Data Considered'!$B$16,Retailer!R24+Retailer!Q25)</f>
        <v>29750</v>
      </c>
      <c r="S25" s="1">
        <f ca="1">J25*'Data Considered'!$D$7</f>
        <v>130</v>
      </c>
      <c r="T25" s="1">
        <f ca="1">L25*'Data Considered'!$B$20</f>
        <v>240</v>
      </c>
      <c r="U25" s="1">
        <f ca="1">K25*'Data Considered'!$B$24</f>
        <v>0</v>
      </c>
      <c r="V25" s="1">
        <f t="shared" ca="1" si="8"/>
        <v>1</v>
      </c>
      <c r="W25" s="1">
        <f ca="1">V25+'Data Considered'!$B$13-'Data Considered'!$B$14</f>
        <v>-1</v>
      </c>
      <c r="X25" s="1">
        <f t="shared" ca="1" si="9"/>
        <v>1670</v>
      </c>
      <c r="Y25" s="1">
        <f t="shared" ca="1" si="10"/>
        <v>2340</v>
      </c>
    </row>
    <row r="26" spans="1:25" x14ac:dyDescent="0.3">
      <c r="A26" s="1">
        <f t="shared" si="11"/>
        <v>25</v>
      </c>
      <c r="B26" s="1">
        <f>Demand!B26</f>
        <v>24</v>
      </c>
      <c r="C26" s="1">
        <f t="shared" si="13"/>
        <v>17</v>
      </c>
      <c r="D26" s="1">
        <f t="shared" si="4"/>
        <v>51</v>
      </c>
      <c r="E26" s="1">
        <f ca="1">Distributor!J25</f>
        <v>0</v>
      </c>
      <c r="F26" s="1">
        <f ca="1">IF(A26=1,'Data Considered'!$B$5,Retailer!L25+Retailer!E26)</f>
        <v>16</v>
      </c>
      <c r="G26" s="1">
        <f t="shared" ca="1" si="0"/>
        <v>38</v>
      </c>
      <c r="H26" s="1">
        <f t="shared" ca="1" si="1"/>
        <v>13</v>
      </c>
      <c r="I26" s="1">
        <f t="shared" ca="1" si="5"/>
        <v>16</v>
      </c>
      <c r="J26" s="1">
        <f t="shared" ca="1" si="2"/>
        <v>16</v>
      </c>
      <c r="K26" s="1">
        <f t="shared" ca="1" si="12"/>
        <v>8</v>
      </c>
      <c r="L26" s="1">
        <f t="shared" ca="1" si="6"/>
        <v>0</v>
      </c>
      <c r="M26" s="1">
        <f ca="1">J26*'Data Considered'!$B$7</f>
        <v>2880</v>
      </c>
      <c r="N26" s="1">
        <f ca="1">IF(A26&gt;'Data Considered'!$B$13,OFFSET(Retailer!M26,-'Data Considered'!$B$13,0),0)</f>
        <v>2880</v>
      </c>
      <c r="O26" s="1">
        <f ca="1">E26*'Data Considered'!$B$8</f>
        <v>0</v>
      </c>
      <c r="P26" s="1">
        <f ca="1">IF(A26&gt;'Data Considered'!$B$14,OFFSET(Retailer!O26,-'Data Considered'!$B$14,0),0)</f>
        <v>5320</v>
      </c>
      <c r="Q26" s="1">
        <f t="shared" ca="1" si="7"/>
        <v>-2600</v>
      </c>
      <c r="R26" s="1">
        <f ca="1">IF(A26=1,'Data Considered'!$B$16,Retailer!R25+Retailer!Q26)</f>
        <v>27150</v>
      </c>
      <c r="S26" s="1">
        <f ca="1">J26*'Data Considered'!$D$7</f>
        <v>160</v>
      </c>
      <c r="T26" s="1">
        <f ca="1">L26*'Data Considered'!$B$20</f>
        <v>0</v>
      </c>
      <c r="U26" s="1">
        <f ca="1">K26*'Data Considered'!$B$24</f>
        <v>320</v>
      </c>
      <c r="V26" s="1">
        <f t="shared" ca="1" si="8"/>
        <v>0</v>
      </c>
      <c r="W26" s="1">
        <f ca="1">V26+'Data Considered'!$B$13-'Data Considered'!$B$14</f>
        <v>-2</v>
      </c>
      <c r="X26" s="1">
        <f t="shared" ca="1" si="9"/>
        <v>5480</v>
      </c>
      <c r="Y26" s="1">
        <f t="shared" ca="1" si="10"/>
        <v>2880</v>
      </c>
    </row>
    <row r="27" spans="1:25" x14ac:dyDescent="0.3">
      <c r="A27" s="1">
        <f t="shared" si="11"/>
        <v>26</v>
      </c>
      <c r="B27" s="1">
        <f>Demand!B27</f>
        <v>26</v>
      </c>
      <c r="C27" s="1">
        <f t="shared" si="13"/>
        <v>19</v>
      </c>
      <c r="D27" s="1">
        <f t="shared" si="4"/>
        <v>57</v>
      </c>
      <c r="E27" s="1">
        <f ca="1">Distributor!J26</f>
        <v>22</v>
      </c>
      <c r="F27" s="1">
        <f ca="1">IF(A27=1,'Data Considered'!$B$5,Retailer!L26+Retailer!E27)</f>
        <v>22</v>
      </c>
      <c r="G27" s="1">
        <f t="shared" ca="1" si="0"/>
        <v>35</v>
      </c>
      <c r="H27" s="1">
        <f t="shared" ca="1" si="1"/>
        <v>22</v>
      </c>
      <c r="I27" s="1">
        <f t="shared" ca="1" si="5"/>
        <v>22</v>
      </c>
      <c r="J27" s="1">
        <f t="shared" ca="1" si="2"/>
        <v>22</v>
      </c>
      <c r="K27" s="1">
        <f t="shared" ca="1" si="12"/>
        <v>4</v>
      </c>
      <c r="L27" s="1">
        <f t="shared" ca="1" si="6"/>
        <v>0</v>
      </c>
      <c r="M27" s="1">
        <f ca="1">J27*'Data Considered'!$B$7</f>
        <v>3960</v>
      </c>
      <c r="N27" s="1">
        <f ca="1">IF(A27&gt;'Data Considered'!$B$13,OFFSET(Retailer!M27,-'Data Considered'!$B$13,0),0)</f>
        <v>3960</v>
      </c>
      <c r="O27" s="1">
        <f ca="1">E27*'Data Considered'!$B$8</f>
        <v>3080</v>
      </c>
      <c r="P27" s="1">
        <f ca="1">IF(A27&gt;'Data Considered'!$B$14,OFFSET(Retailer!O27,-'Data Considered'!$B$14,0),0)</f>
        <v>1680</v>
      </c>
      <c r="Q27" s="1">
        <f t="shared" ca="1" si="7"/>
        <v>2060</v>
      </c>
      <c r="R27" s="1">
        <f ca="1">IF(A27=1,'Data Considered'!$B$16,Retailer!R26+Retailer!Q27)</f>
        <v>29210</v>
      </c>
      <c r="S27" s="1">
        <f ca="1">J27*'Data Considered'!$D$7</f>
        <v>220</v>
      </c>
      <c r="T27" s="1">
        <f ca="1">L27*'Data Considered'!$B$20</f>
        <v>0</v>
      </c>
      <c r="U27" s="1">
        <f ca="1">K27*'Data Considered'!$B$24</f>
        <v>160</v>
      </c>
      <c r="V27" s="1">
        <f t="shared" ca="1" si="8"/>
        <v>0</v>
      </c>
      <c r="W27" s="1">
        <f ca="1">V27+'Data Considered'!$B$13-'Data Considered'!$B$14</f>
        <v>-2</v>
      </c>
      <c r="X27" s="1">
        <f t="shared" ca="1" si="9"/>
        <v>1900</v>
      </c>
      <c r="Y27" s="1">
        <f t="shared" ca="1" si="10"/>
        <v>3960</v>
      </c>
    </row>
    <row r="28" spans="1:25" x14ac:dyDescent="0.3">
      <c r="A28" s="1">
        <f t="shared" si="11"/>
        <v>27</v>
      </c>
      <c r="B28" s="1">
        <f>Demand!B28</f>
        <v>14</v>
      </c>
      <c r="C28" s="1">
        <f t="shared" si="13"/>
        <v>25</v>
      </c>
      <c r="D28" s="1">
        <f t="shared" si="4"/>
        <v>75</v>
      </c>
      <c r="E28" s="1">
        <f ca="1">Distributor!J27</f>
        <v>13</v>
      </c>
      <c r="F28" s="1">
        <f ca="1">IF(A28=1,'Data Considered'!$B$5,Retailer!L27+Retailer!E28)</f>
        <v>13</v>
      </c>
      <c r="G28" s="1">
        <f t="shared" ca="1" si="0"/>
        <v>35</v>
      </c>
      <c r="H28" s="1">
        <f t="shared" ca="1" si="1"/>
        <v>40</v>
      </c>
      <c r="I28" s="1">
        <f t="shared" ca="1" si="5"/>
        <v>13</v>
      </c>
      <c r="J28" s="1">
        <f t="shared" ca="1" si="2"/>
        <v>13</v>
      </c>
      <c r="K28" s="1">
        <f t="shared" ca="1" si="12"/>
        <v>1</v>
      </c>
      <c r="L28" s="1">
        <f t="shared" ca="1" si="6"/>
        <v>0</v>
      </c>
      <c r="M28" s="1">
        <f ca="1">J28*'Data Considered'!$B$7</f>
        <v>2340</v>
      </c>
      <c r="N28" s="1">
        <f ca="1">IF(A28&gt;'Data Considered'!$B$13,OFFSET(Retailer!M28,-'Data Considered'!$B$13,0),0)</f>
        <v>2340</v>
      </c>
      <c r="O28" s="1">
        <f ca="1">E28*'Data Considered'!$B$8</f>
        <v>1820</v>
      </c>
      <c r="P28" s="1">
        <f ca="1">IF(A28&gt;'Data Considered'!$B$14,OFFSET(Retailer!O28,-'Data Considered'!$B$14,0),0)</f>
        <v>0</v>
      </c>
      <c r="Q28" s="1">
        <f t="shared" ca="1" si="7"/>
        <v>2210</v>
      </c>
      <c r="R28" s="1">
        <f ca="1">IF(A28=1,'Data Considered'!$B$16,Retailer!R27+Retailer!Q28)</f>
        <v>31420</v>
      </c>
      <c r="S28" s="1">
        <f ca="1">J28*'Data Considered'!$D$7</f>
        <v>130</v>
      </c>
      <c r="T28" s="1">
        <f ca="1">L28*'Data Considered'!$B$20</f>
        <v>0</v>
      </c>
      <c r="U28" s="1">
        <f ca="1">K28*'Data Considered'!$B$24</f>
        <v>40</v>
      </c>
      <c r="V28" s="1">
        <f t="shared" ca="1" si="8"/>
        <v>0</v>
      </c>
      <c r="W28" s="1">
        <f ca="1">V28+'Data Considered'!$B$13-'Data Considered'!$B$14</f>
        <v>-2</v>
      </c>
      <c r="X28" s="1">
        <f t="shared" ca="1" si="9"/>
        <v>130</v>
      </c>
      <c r="Y28" s="1">
        <f t="shared" ca="1" si="10"/>
        <v>2340</v>
      </c>
    </row>
    <row r="29" spans="1:25" x14ac:dyDescent="0.3">
      <c r="A29" s="1">
        <f t="shared" si="11"/>
        <v>28</v>
      </c>
      <c r="B29" s="1">
        <f>Demand!B29</f>
        <v>18</v>
      </c>
      <c r="C29" s="1">
        <f t="shared" si="13"/>
        <v>20</v>
      </c>
      <c r="D29" s="1">
        <f t="shared" si="4"/>
        <v>60</v>
      </c>
      <c r="E29" s="1">
        <f ca="1">Distributor!J28</f>
        <v>22</v>
      </c>
      <c r="F29" s="1">
        <f ca="1">IF(A29=1,'Data Considered'!$B$5,Retailer!L28+Retailer!E29)</f>
        <v>22</v>
      </c>
      <c r="G29" s="1">
        <f t="shared" ca="1" si="0"/>
        <v>62</v>
      </c>
      <c r="H29" s="1">
        <f t="shared" ca="1" si="1"/>
        <v>0</v>
      </c>
      <c r="I29" s="1">
        <f t="shared" ca="1" si="5"/>
        <v>22</v>
      </c>
      <c r="J29" s="1">
        <f t="shared" ca="1" si="2"/>
        <v>18</v>
      </c>
      <c r="K29" s="1">
        <f t="shared" ca="1" si="12"/>
        <v>0</v>
      </c>
      <c r="L29" s="1">
        <f t="shared" ca="1" si="6"/>
        <v>4</v>
      </c>
      <c r="M29" s="1">
        <f ca="1">J29*'Data Considered'!$B$7</f>
        <v>3240</v>
      </c>
      <c r="N29" s="1">
        <f ca="1">IF(A29&gt;'Data Considered'!$B$13,OFFSET(Retailer!M29,-'Data Considered'!$B$13,0),0)</f>
        <v>3240</v>
      </c>
      <c r="O29" s="1">
        <f ca="1">E29*'Data Considered'!$B$8</f>
        <v>3080</v>
      </c>
      <c r="P29" s="1">
        <f ca="1">IF(A29&gt;'Data Considered'!$B$14,OFFSET(Retailer!O29,-'Data Considered'!$B$14,0),0)</f>
        <v>3080</v>
      </c>
      <c r="Q29" s="1">
        <f t="shared" ca="1" si="7"/>
        <v>-80</v>
      </c>
      <c r="R29" s="1">
        <f ca="1">IF(A29=1,'Data Considered'!$B$16,Retailer!R28+Retailer!Q29)</f>
        <v>31340</v>
      </c>
      <c r="S29" s="1">
        <f ca="1">J29*'Data Considered'!$D$7</f>
        <v>180</v>
      </c>
      <c r="T29" s="1">
        <f ca="1">L29*'Data Considered'!$B$20</f>
        <v>60</v>
      </c>
      <c r="U29" s="1">
        <f ca="1">K29*'Data Considered'!$B$24</f>
        <v>0</v>
      </c>
      <c r="V29" s="1">
        <f t="shared" ca="1" si="8"/>
        <v>1</v>
      </c>
      <c r="W29" s="1">
        <f ca="1">V29+'Data Considered'!$B$13-'Data Considered'!$B$14</f>
        <v>-1</v>
      </c>
      <c r="X29" s="1">
        <f t="shared" ca="1" si="9"/>
        <v>3260</v>
      </c>
      <c r="Y29" s="1">
        <f t="shared" ca="1" si="10"/>
        <v>3240</v>
      </c>
    </row>
    <row r="30" spans="1:25" x14ac:dyDescent="0.3">
      <c r="A30" s="1">
        <f t="shared" si="11"/>
        <v>29</v>
      </c>
      <c r="B30" s="1">
        <f>Demand!B30</f>
        <v>25</v>
      </c>
      <c r="C30" s="1">
        <f t="shared" si="13"/>
        <v>16</v>
      </c>
      <c r="D30" s="1">
        <f t="shared" si="4"/>
        <v>48</v>
      </c>
      <c r="E30" s="1">
        <f ca="1">Distributor!J29</f>
        <v>36</v>
      </c>
      <c r="F30" s="1">
        <f ca="1">IF(A30=1,'Data Considered'!$B$5,Retailer!L29+Retailer!E30)</f>
        <v>40</v>
      </c>
      <c r="G30" s="1">
        <f t="shared" ca="1" si="0"/>
        <v>40</v>
      </c>
      <c r="H30" s="1">
        <f t="shared" ca="1" si="1"/>
        <v>8</v>
      </c>
      <c r="I30" s="1">
        <f t="shared" ca="1" si="5"/>
        <v>40</v>
      </c>
      <c r="J30" s="1">
        <f t="shared" ca="1" si="2"/>
        <v>25</v>
      </c>
      <c r="K30" s="1">
        <f t="shared" ca="1" si="12"/>
        <v>0</v>
      </c>
      <c r="L30" s="1">
        <f t="shared" ca="1" si="6"/>
        <v>15</v>
      </c>
      <c r="M30" s="1">
        <f ca="1">J30*'Data Considered'!$B$7</f>
        <v>4500</v>
      </c>
      <c r="N30" s="1">
        <f ca="1">IF(A30&gt;'Data Considered'!$B$13,OFFSET(Retailer!M30,-'Data Considered'!$B$13,0),0)</f>
        <v>4500</v>
      </c>
      <c r="O30" s="1">
        <f ca="1">E30*'Data Considered'!$B$8</f>
        <v>5040</v>
      </c>
      <c r="P30" s="1">
        <f ca="1">IF(A30&gt;'Data Considered'!$B$14,OFFSET(Retailer!O30,-'Data Considered'!$B$14,0),0)</f>
        <v>1820</v>
      </c>
      <c r="Q30" s="1">
        <f t="shared" ca="1" si="7"/>
        <v>2205</v>
      </c>
      <c r="R30" s="1">
        <f ca="1">IF(A30=1,'Data Considered'!$B$16,Retailer!R29+Retailer!Q30)</f>
        <v>33545</v>
      </c>
      <c r="S30" s="1">
        <f ca="1">J30*'Data Considered'!$D$7</f>
        <v>250</v>
      </c>
      <c r="T30" s="1">
        <f ca="1">L30*'Data Considered'!$B$20</f>
        <v>225</v>
      </c>
      <c r="U30" s="1">
        <f ca="1">K30*'Data Considered'!$B$24</f>
        <v>0</v>
      </c>
      <c r="V30" s="1">
        <f t="shared" ca="1" si="8"/>
        <v>1</v>
      </c>
      <c r="W30" s="1">
        <f ca="1">V30+'Data Considered'!$B$13-'Data Considered'!$B$14</f>
        <v>-1</v>
      </c>
      <c r="X30" s="1">
        <f t="shared" ca="1" si="9"/>
        <v>2070</v>
      </c>
      <c r="Y30" s="1">
        <f t="shared" ca="1" si="10"/>
        <v>4500</v>
      </c>
    </row>
    <row r="31" spans="1:25" x14ac:dyDescent="0.3">
      <c r="A31" s="1">
        <f t="shared" si="11"/>
        <v>30</v>
      </c>
      <c r="B31" s="1">
        <f>Demand!B31</f>
        <v>27</v>
      </c>
      <c r="C31" s="1">
        <f t="shared" si="13"/>
        <v>22</v>
      </c>
      <c r="D31" s="1">
        <f t="shared" si="4"/>
        <v>66</v>
      </c>
      <c r="E31" s="1">
        <f ca="1">Distributor!J30</f>
        <v>0</v>
      </c>
      <c r="F31" s="1">
        <f ca="1">IF(A31=1,'Data Considered'!$B$5,Retailer!L30+Retailer!E31)</f>
        <v>15</v>
      </c>
      <c r="G31" s="1">
        <f t="shared" ca="1" si="0"/>
        <v>23</v>
      </c>
      <c r="H31" s="1">
        <f t="shared" ca="1" si="1"/>
        <v>43</v>
      </c>
      <c r="I31" s="1">
        <f t="shared" ca="1" si="5"/>
        <v>15</v>
      </c>
      <c r="J31" s="1">
        <f t="shared" ca="1" si="2"/>
        <v>15</v>
      </c>
      <c r="K31" s="1">
        <f t="shared" ca="1" si="12"/>
        <v>12</v>
      </c>
      <c r="L31" s="1">
        <f t="shared" ca="1" si="6"/>
        <v>0</v>
      </c>
      <c r="M31" s="1">
        <f ca="1">J31*'Data Considered'!$B$7</f>
        <v>2700</v>
      </c>
      <c r="N31" s="1">
        <f ca="1">IF(A31&gt;'Data Considered'!$B$13,OFFSET(Retailer!M31,-'Data Considered'!$B$13,0),0)</f>
        <v>2700</v>
      </c>
      <c r="O31" s="1">
        <f ca="1">E31*'Data Considered'!$B$8</f>
        <v>0</v>
      </c>
      <c r="P31" s="1">
        <f ca="1">IF(A31&gt;'Data Considered'!$B$14,OFFSET(Retailer!O31,-'Data Considered'!$B$14,0),0)</f>
        <v>3080</v>
      </c>
      <c r="Q31" s="1">
        <f t="shared" ca="1" si="7"/>
        <v>-530</v>
      </c>
      <c r="R31" s="1">
        <f ca="1">IF(A31=1,'Data Considered'!$B$16,Retailer!R30+Retailer!Q31)</f>
        <v>33015</v>
      </c>
      <c r="S31" s="1">
        <f ca="1">J31*'Data Considered'!$D$7</f>
        <v>150</v>
      </c>
      <c r="T31" s="1">
        <f ca="1">L31*'Data Considered'!$B$20</f>
        <v>0</v>
      </c>
      <c r="U31" s="1">
        <f ca="1">K31*'Data Considered'!$B$24</f>
        <v>480</v>
      </c>
      <c r="V31" s="1">
        <f t="shared" ca="1" si="8"/>
        <v>0</v>
      </c>
      <c r="W31" s="1">
        <f ca="1">V31+'Data Considered'!$B$13-'Data Considered'!$B$14</f>
        <v>-2</v>
      </c>
      <c r="X31" s="1">
        <f t="shared" ca="1" si="9"/>
        <v>3230</v>
      </c>
      <c r="Y31" s="1">
        <f t="shared" ca="1" si="10"/>
        <v>2700</v>
      </c>
    </row>
    <row r="32" spans="1:25" x14ac:dyDescent="0.3">
      <c r="A32" s="1">
        <f t="shared" si="11"/>
        <v>31</v>
      </c>
      <c r="B32" s="1">
        <f>Demand!B32</f>
        <v>20</v>
      </c>
      <c r="C32" s="1">
        <f t="shared" ref="C32:C95" si="14">ROUNDUP(AVERAGE(B30,B31),0)</f>
        <v>26</v>
      </c>
      <c r="D32" s="1">
        <f t="shared" ref="D32:D95" si="15">3*C32</f>
        <v>78</v>
      </c>
      <c r="E32" s="1">
        <f ca="1">Distributor!J31</f>
        <v>8</v>
      </c>
      <c r="F32" s="1">
        <f ca="1">IF(A32=1,'Data Considered'!$B$5,Retailer!L31+Retailer!E32)</f>
        <v>8</v>
      </c>
      <c r="G32" s="1">
        <f t="shared" ca="1" si="0"/>
        <v>51</v>
      </c>
      <c r="H32" s="1">
        <f t="shared" ca="1" si="1"/>
        <v>27</v>
      </c>
      <c r="I32" s="1">
        <f t="shared" ca="1" si="5"/>
        <v>8</v>
      </c>
      <c r="J32" s="1">
        <f t="shared" ca="1" si="2"/>
        <v>8</v>
      </c>
      <c r="K32" s="1">
        <f t="shared" ca="1" si="12"/>
        <v>12</v>
      </c>
      <c r="L32" s="1">
        <f t="shared" ref="L32:L95" ca="1" si="16">I32-J32</f>
        <v>0</v>
      </c>
      <c r="M32" s="1">
        <f ca="1">J32*'Data Considered'!$B$7</f>
        <v>1440</v>
      </c>
      <c r="N32" s="1">
        <f ca="1">IF(A32&gt;'Data Considered'!$B$13,OFFSET(Retailer!M32,-'Data Considered'!$B$13,0),0)</f>
        <v>1440</v>
      </c>
      <c r="O32" s="1">
        <f ca="1">E32*'Data Considered'!$B$8</f>
        <v>1120</v>
      </c>
      <c r="P32" s="1">
        <f ca="1">IF(A32&gt;'Data Considered'!$B$14,OFFSET(Retailer!O32,-'Data Considered'!$B$14,0),0)</f>
        <v>5040</v>
      </c>
      <c r="Q32" s="1">
        <f t="shared" ca="1" si="7"/>
        <v>-3680</v>
      </c>
      <c r="R32" s="1">
        <f ca="1">IF(A32=1,'Data Considered'!$B$16,Retailer!R31+Retailer!Q32)</f>
        <v>29335</v>
      </c>
      <c r="S32" s="1">
        <f ca="1">J32*'Data Considered'!$D$7</f>
        <v>80</v>
      </c>
      <c r="T32" s="1">
        <f ca="1">L32*'Data Considered'!$B$20</f>
        <v>0</v>
      </c>
      <c r="U32" s="1">
        <f ca="1">K32*'Data Considered'!$B$24</f>
        <v>480</v>
      </c>
      <c r="V32" s="1">
        <f t="shared" ca="1" si="8"/>
        <v>0</v>
      </c>
      <c r="W32" s="1">
        <f ca="1">V32+'Data Considered'!$B$13-'Data Considered'!$B$14</f>
        <v>-2</v>
      </c>
      <c r="X32" s="1">
        <f t="shared" ca="1" si="9"/>
        <v>5120</v>
      </c>
      <c r="Y32" s="1">
        <f t="shared" ca="1" si="10"/>
        <v>1440</v>
      </c>
    </row>
    <row r="33" spans="1:25" x14ac:dyDescent="0.3">
      <c r="A33" s="1">
        <f t="shared" si="11"/>
        <v>32</v>
      </c>
      <c r="B33" s="1">
        <f>Demand!B33</f>
        <v>12</v>
      </c>
      <c r="C33" s="1">
        <f t="shared" si="14"/>
        <v>24</v>
      </c>
      <c r="D33" s="1">
        <f t="shared" si="15"/>
        <v>72</v>
      </c>
      <c r="E33" s="1">
        <f ca="1">Distributor!J32</f>
        <v>43</v>
      </c>
      <c r="F33" s="1">
        <f ca="1">IF(A33=1,'Data Considered'!$B$5,Retailer!L32+Retailer!E33)</f>
        <v>43</v>
      </c>
      <c r="G33" s="1">
        <f t="shared" ca="1" si="0"/>
        <v>70</v>
      </c>
      <c r="H33" s="1">
        <f t="shared" ca="1" si="1"/>
        <v>2</v>
      </c>
      <c r="I33" s="1">
        <f t="shared" ca="1" si="5"/>
        <v>43</v>
      </c>
      <c r="J33" s="1">
        <f t="shared" ca="1" si="2"/>
        <v>12</v>
      </c>
      <c r="K33" s="1">
        <f t="shared" ca="1" si="12"/>
        <v>0</v>
      </c>
      <c r="L33" s="1">
        <f t="shared" ca="1" si="16"/>
        <v>31</v>
      </c>
      <c r="M33" s="1">
        <f ca="1">J33*'Data Considered'!$B$7</f>
        <v>2160</v>
      </c>
      <c r="N33" s="1">
        <f ca="1">IF(A33&gt;'Data Considered'!$B$13,OFFSET(Retailer!M33,-'Data Considered'!$B$13,0),0)</f>
        <v>2160</v>
      </c>
      <c r="O33" s="1">
        <f ca="1">E33*'Data Considered'!$B$8</f>
        <v>6020</v>
      </c>
      <c r="P33" s="1">
        <f ca="1">IF(A33&gt;'Data Considered'!$B$14,OFFSET(Retailer!O33,-'Data Considered'!$B$14,0),0)</f>
        <v>0</v>
      </c>
      <c r="Q33" s="1">
        <f t="shared" ca="1" si="7"/>
        <v>1575</v>
      </c>
      <c r="R33" s="1">
        <f ca="1">IF(A33=1,'Data Considered'!$B$16,Retailer!R32+Retailer!Q33)</f>
        <v>30910</v>
      </c>
      <c r="S33" s="1">
        <f ca="1">J33*'Data Considered'!$D$7</f>
        <v>120</v>
      </c>
      <c r="T33" s="1">
        <f ca="1">L33*'Data Considered'!$B$20</f>
        <v>465</v>
      </c>
      <c r="U33" s="1">
        <f ca="1">K33*'Data Considered'!$B$24</f>
        <v>0</v>
      </c>
      <c r="V33" s="1">
        <f t="shared" ca="1" si="8"/>
        <v>2</v>
      </c>
      <c r="W33" s="1">
        <f ca="1">V33+'Data Considered'!$B$13-'Data Considered'!$B$14</f>
        <v>0</v>
      </c>
      <c r="X33" s="1">
        <f t="shared" ca="1" si="9"/>
        <v>120</v>
      </c>
      <c r="Y33" s="1">
        <f t="shared" ca="1" si="10"/>
        <v>2160</v>
      </c>
    </row>
    <row r="34" spans="1:25" x14ac:dyDescent="0.3">
      <c r="A34" s="1">
        <f t="shared" si="11"/>
        <v>33</v>
      </c>
      <c r="B34" s="1">
        <f>Demand!B34</f>
        <v>16</v>
      </c>
      <c r="C34" s="1">
        <f t="shared" si="14"/>
        <v>16</v>
      </c>
      <c r="D34" s="1">
        <f t="shared" si="15"/>
        <v>48</v>
      </c>
      <c r="E34" s="1">
        <f ca="1">Distributor!J33</f>
        <v>27</v>
      </c>
      <c r="F34" s="1">
        <f ca="1">IF(A34=1,'Data Considered'!$B$5,Retailer!L33+Retailer!E34)</f>
        <v>58</v>
      </c>
      <c r="G34" s="1">
        <f t="shared" ref="G34:G65" ca="1" si="17">F34+IF(A34&gt;1,H33,0)</f>
        <v>60</v>
      </c>
      <c r="H34" s="1">
        <f t="shared" ref="H34:H65" ca="1" si="18">IF(D34&gt;G34,D34-G34,0)</f>
        <v>0</v>
      </c>
      <c r="I34" s="1">
        <f t="shared" ca="1" si="5"/>
        <v>58</v>
      </c>
      <c r="J34" s="1">
        <f t="shared" ref="J34:J65" ca="1" si="19">MIN(I34,B34)</f>
        <v>16</v>
      </c>
      <c r="K34" s="1">
        <f t="shared" ca="1" si="12"/>
        <v>0</v>
      </c>
      <c r="L34" s="1">
        <f t="shared" ca="1" si="16"/>
        <v>42</v>
      </c>
      <c r="M34" s="1">
        <f ca="1">J34*'Data Considered'!$B$7</f>
        <v>2880</v>
      </c>
      <c r="N34" s="1">
        <f ca="1">IF(A34&gt;'Data Considered'!$B$13,OFFSET(Retailer!M34,-'Data Considered'!$B$13,0),0)</f>
        <v>2880</v>
      </c>
      <c r="O34" s="1">
        <f ca="1">E34*'Data Considered'!$B$8</f>
        <v>3780</v>
      </c>
      <c r="P34" s="1">
        <f ca="1">IF(A34&gt;'Data Considered'!$B$14,OFFSET(Retailer!O34,-'Data Considered'!$B$14,0),0)</f>
        <v>1120</v>
      </c>
      <c r="Q34" s="1">
        <f t="shared" ca="1" si="7"/>
        <v>970</v>
      </c>
      <c r="R34" s="1">
        <f ca="1">IF(A34=1,'Data Considered'!$B$16,Retailer!R33+Retailer!Q34)</f>
        <v>31880</v>
      </c>
      <c r="S34" s="1">
        <f ca="1">J34*'Data Considered'!$D$7</f>
        <v>160</v>
      </c>
      <c r="T34" s="1">
        <f ca="1">L34*'Data Considered'!$B$20</f>
        <v>630</v>
      </c>
      <c r="U34" s="1">
        <f ca="1">K34*'Data Considered'!$B$24</f>
        <v>0</v>
      </c>
      <c r="V34" s="1">
        <f t="shared" ca="1" si="8"/>
        <v>3</v>
      </c>
      <c r="W34" s="1">
        <f ca="1">V34+'Data Considered'!$B$13-'Data Considered'!$B$14</f>
        <v>1</v>
      </c>
      <c r="X34" s="1">
        <f t="shared" ca="1" si="9"/>
        <v>1280</v>
      </c>
      <c r="Y34" s="1">
        <f t="shared" ca="1" si="10"/>
        <v>2880</v>
      </c>
    </row>
    <row r="35" spans="1:25" x14ac:dyDescent="0.3">
      <c r="A35" s="1">
        <f t="shared" si="11"/>
        <v>34</v>
      </c>
      <c r="B35" s="1">
        <f>Demand!B35</f>
        <v>23</v>
      </c>
      <c r="C35" s="1">
        <f t="shared" si="14"/>
        <v>14</v>
      </c>
      <c r="D35" s="1">
        <f t="shared" si="15"/>
        <v>42</v>
      </c>
      <c r="E35" s="1">
        <f ca="1">Distributor!J34</f>
        <v>2</v>
      </c>
      <c r="F35" s="1">
        <f ca="1">IF(A35=1,'Data Considered'!$B$5,Retailer!L34+Retailer!E35)</f>
        <v>44</v>
      </c>
      <c r="G35" s="1">
        <f t="shared" ca="1" si="17"/>
        <v>44</v>
      </c>
      <c r="H35" s="1">
        <f t="shared" ca="1" si="18"/>
        <v>0</v>
      </c>
      <c r="I35" s="1">
        <f t="shared" ca="1" si="5"/>
        <v>44</v>
      </c>
      <c r="J35" s="1">
        <f t="shared" ca="1" si="19"/>
        <v>23</v>
      </c>
      <c r="K35" s="1">
        <f t="shared" ca="1" si="12"/>
        <v>0</v>
      </c>
      <c r="L35" s="1">
        <f t="shared" ca="1" si="16"/>
        <v>21</v>
      </c>
      <c r="M35" s="1">
        <f ca="1">J35*'Data Considered'!$B$7</f>
        <v>4140</v>
      </c>
      <c r="N35" s="1">
        <f ca="1">IF(A35&gt;'Data Considered'!$B$13,OFFSET(Retailer!M35,-'Data Considered'!$B$13,0),0)</f>
        <v>4140</v>
      </c>
      <c r="O35" s="1">
        <f ca="1">E35*'Data Considered'!$B$8</f>
        <v>280</v>
      </c>
      <c r="P35" s="1">
        <f ca="1">IF(A35&gt;'Data Considered'!$B$14,OFFSET(Retailer!O35,-'Data Considered'!$B$14,0),0)</f>
        <v>6020</v>
      </c>
      <c r="Q35" s="1">
        <f t="shared" ca="1" si="7"/>
        <v>-2425</v>
      </c>
      <c r="R35" s="1">
        <f ca="1">IF(A35=1,'Data Considered'!$B$16,Retailer!R34+Retailer!Q35)</f>
        <v>29455</v>
      </c>
      <c r="S35" s="1">
        <f ca="1">J35*'Data Considered'!$D$7</f>
        <v>230</v>
      </c>
      <c r="T35" s="1">
        <f ca="1">L35*'Data Considered'!$B$20</f>
        <v>315</v>
      </c>
      <c r="U35" s="1">
        <f ca="1">K35*'Data Considered'!$B$24</f>
        <v>0</v>
      </c>
      <c r="V35" s="1">
        <f t="shared" ca="1" si="8"/>
        <v>2</v>
      </c>
      <c r="W35" s="1">
        <f ca="1">V35+'Data Considered'!$B$13-'Data Considered'!$B$14</f>
        <v>0</v>
      </c>
      <c r="X35" s="1">
        <f t="shared" ca="1" si="9"/>
        <v>6250</v>
      </c>
      <c r="Y35" s="1">
        <f t="shared" ca="1" si="10"/>
        <v>4140</v>
      </c>
    </row>
    <row r="36" spans="1:25" x14ac:dyDescent="0.3">
      <c r="A36" s="1">
        <f t="shared" si="11"/>
        <v>35</v>
      </c>
      <c r="B36" s="1">
        <f>Demand!B36</f>
        <v>13</v>
      </c>
      <c r="C36" s="1">
        <f t="shared" si="14"/>
        <v>20</v>
      </c>
      <c r="D36" s="1">
        <f t="shared" si="15"/>
        <v>60</v>
      </c>
      <c r="E36" s="1">
        <f ca="1">Distributor!J35</f>
        <v>0</v>
      </c>
      <c r="F36" s="1">
        <f ca="1">IF(A36=1,'Data Considered'!$B$5,Retailer!L35+Retailer!E36)</f>
        <v>21</v>
      </c>
      <c r="G36" s="1">
        <f t="shared" ca="1" si="17"/>
        <v>21</v>
      </c>
      <c r="H36" s="1">
        <f t="shared" ca="1" si="18"/>
        <v>39</v>
      </c>
      <c r="I36" s="1">
        <f t="shared" ca="1" si="5"/>
        <v>21</v>
      </c>
      <c r="J36" s="1">
        <f t="shared" ca="1" si="19"/>
        <v>13</v>
      </c>
      <c r="K36" s="1">
        <f t="shared" ca="1" si="12"/>
        <v>0</v>
      </c>
      <c r="L36" s="1">
        <f t="shared" ca="1" si="16"/>
        <v>8</v>
      </c>
      <c r="M36" s="1">
        <f ca="1">J36*'Data Considered'!$B$7</f>
        <v>2340</v>
      </c>
      <c r="N36" s="1">
        <f ca="1">IF(A36&gt;'Data Considered'!$B$13,OFFSET(Retailer!M36,-'Data Considered'!$B$13,0),0)</f>
        <v>2340</v>
      </c>
      <c r="O36" s="1">
        <f ca="1">E36*'Data Considered'!$B$8</f>
        <v>0</v>
      </c>
      <c r="P36" s="1">
        <f ca="1">IF(A36&gt;'Data Considered'!$B$14,OFFSET(Retailer!O36,-'Data Considered'!$B$14,0),0)</f>
        <v>3780</v>
      </c>
      <c r="Q36" s="1">
        <f t="shared" ca="1" si="7"/>
        <v>-1690</v>
      </c>
      <c r="R36" s="1">
        <f ca="1">IF(A36=1,'Data Considered'!$B$16,Retailer!R35+Retailer!Q36)</f>
        <v>27765</v>
      </c>
      <c r="S36" s="1">
        <f ca="1">J36*'Data Considered'!$D$7</f>
        <v>130</v>
      </c>
      <c r="T36" s="1">
        <f ca="1">L36*'Data Considered'!$B$20</f>
        <v>120</v>
      </c>
      <c r="U36" s="1">
        <f ca="1">K36*'Data Considered'!$B$24</f>
        <v>0</v>
      </c>
      <c r="V36" s="1">
        <f t="shared" ca="1" si="8"/>
        <v>1</v>
      </c>
      <c r="W36" s="1">
        <f ca="1">V36+'Data Considered'!$B$13-'Data Considered'!$B$14</f>
        <v>-1</v>
      </c>
      <c r="X36" s="1">
        <f t="shared" ca="1" si="9"/>
        <v>3910</v>
      </c>
      <c r="Y36" s="1">
        <f t="shared" ca="1" si="10"/>
        <v>2340</v>
      </c>
    </row>
    <row r="37" spans="1:25" x14ac:dyDescent="0.3">
      <c r="A37" s="1">
        <f t="shared" si="11"/>
        <v>36</v>
      </c>
      <c r="B37" s="1">
        <f>Demand!B37</f>
        <v>17</v>
      </c>
      <c r="C37" s="1">
        <f t="shared" si="14"/>
        <v>18</v>
      </c>
      <c r="D37" s="1">
        <f t="shared" si="15"/>
        <v>54</v>
      </c>
      <c r="E37" s="1">
        <f ca="1">Distributor!J36</f>
        <v>0</v>
      </c>
      <c r="F37" s="1">
        <f ca="1">IF(A37=1,'Data Considered'!$B$5,Retailer!L36+Retailer!E37)</f>
        <v>8</v>
      </c>
      <c r="G37" s="1">
        <f t="shared" ca="1" si="17"/>
        <v>47</v>
      </c>
      <c r="H37" s="1">
        <f t="shared" ca="1" si="18"/>
        <v>7</v>
      </c>
      <c r="I37" s="1">
        <f t="shared" ca="1" si="5"/>
        <v>8</v>
      </c>
      <c r="J37" s="1">
        <f t="shared" ca="1" si="19"/>
        <v>8</v>
      </c>
      <c r="K37" s="1">
        <f t="shared" ca="1" si="12"/>
        <v>9</v>
      </c>
      <c r="L37" s="1">
        <f t="shared" ca="1" si="16"/>
        <v>0</v>
      </c>
      <c r="M37" s="1">
        <f ca="1">J37*'Data Considered'!$B$7</f>
        <v>1440</v>
      </c>
      <c r="N37" s="1">
        <f ca="1">IF(A37&gt;'Data Considered'!$B$13,OFFSET(Retailer!M37,-'Data Considered'!$B$13,0),0)</f>
        <v>1440</v>
      </c>
      <c r="O37" s="1">
        <f ca="1">E37*'Data Considered'!$B$8</f>
        <v>0</v>
      </c>
      <c r="P37" s="1">
        <f ca="1">IF(A37&gt;'Data Considered'!$B$14,OFFSET(Retailer!O37,-'Data Considered'!$B$14,0),0)</f>
        <v>280</v>
      </c>
      <c r="Q37" s="1">
        <f t="shared" ca="1" si="7"/>
        <v>1080</v>
      </c>
      <c r="R37" s="1">
        <f ca="1">IF(A37=1,'Data Considered'!$B$16,Retailer!R36+Retailer!Q37)</f>
        <v>28845</v>
      </c>
      <c r="S37" s="1">
        <f ca="1">J37*'Data Considered'!$D$7</f>
        <v>80</v>
      </c>
      <c r="T37" s="1">
        <f ca="1">L37*'Data Considered'!$B$20</f>
        <v>0</v>
      </c>
      <c r="U37" s="1">
        <f ca="1">K37*'Data Considered'!$B$24</f>
        <v>360</v>
      </c>
      <c r="V37" s="1">
        <f t="shared" ca="1" si="8"/>
        <v>0</v>
      </c>
      <c r="W37" s="1">
        <f ca="1">V37+'Data Considered'!$B$13-'Data Considered'!$B$14</f>
        <v>-2</v>
      </c>
      <c r="X37" s="1">
        <f t="shared" ca="1" si="9"/>
        <v>360</v>
      </c>
      <c r="Y37" s="1">
        <f t="shared" ca="1" si="10"/>
        <v>1440</v>
      </c>
    </row>
    <row r="38" spans="1:25" x14ac:dyDescent="0.3">
      <c r="A38" s="1">
        <f t="shared" si="11"/>
        <v>37</v>
      </c>
      <c r="B38" s="1">
        <f>Demand!B38</f>
        <v>15</v>
      </c>
      <c r="C38" s="1">
        <f t="shared" si="14"/>
        <v>15</v>
      </c>
      <c r="D38" s="1">
        <f t="shared" si="15"/>
        <v>45</v>
      </c>
      <c r="E38" s="1">
        <f ca="1">Distributor!J37</f>
        <v>39</v>
      </c>
      <c r="F38" s="1">
        <f ca="1">IF(A38=1,'Data Considered'!$B$5,Retailer!L37+Retailer!E38)</f>
        <v>39</v>
      </c>
      <c r="G38" s="1">
        <f t="shared" ca="1" si="17"/>
        <v>46</v>
      </c>
      <c r="H38" s="1">
        <f t="shared" ca="1" si="18"/>
        <v>0</v>
      </c>
      <c r="I38" s="1">
        <f t="shared" ca="1" si="5"/>
        <v>39</v>
      </c>
      <c r="J38" s="1">
        <f t="shared" ca="1" si="19"/>
        <v>15</v>
      </c>
      <c r="K38" s="1">
        <f t="shared" ca="1" si="12"/>
        <v>0</v>
      </c>
      <c r="L38" s="1">
        <f t="shared" ca="1" si="16"/>
        <v>24</v>
      </c>
      <c r="M38" s="1">
        <f ca="1">J38*'Data Considered'!$B$7</f>
        <v>2700</v>
      </c>
      <c r="N38" s="1">
        <f ca="1">IF(A38&gt;'Data Considered'!$B$13,OFFSET(Retailer!M38,-'Data Considered'!$B$13,0),0)</f>
        <v>2700</v>
      </c>
      <c r="O38" s="1">
        <f ca="1">E38*'Data Considered'!$B$8</f>
        <v>5460</v>
      </c>
      <c r="P38" s="1">
        <f ca="1">IF(A38&gt;'Data Considered'!$B$14,OFFSET(Retailer!O38,-'Data Considered'!$B$14,0),0)</f>
        <v>0</v>
      </c>
      <c r="Q38" s="1">
        <f t="shared" ca="1" si="7"/>
        <v>2190</v>
      </c>
      <c r="R38" s="1">
        <f ca="1">IF(A38=1,'Data Considered'!$B$16,Retailer!R37+Retailer!Q38)</f>
        <v>31035</v>
      </c>
      <c r="S38" s="1">
        <f ca="1">J38*'Data Considered'!$D$7</f>
        <v>150</v>
      </c>
      <c r="T38" s="1">
        <f ca="1">L38*'Data Considered'!$B$20</f>
        <v>360</v>
      </c>
      <c r="U38" s="1">
        <f ca="1">K38*'Data Considered'!$B$24</f>
        <v>0</v>
      </c>
      <c r="V38" s="1">
        <f t="shared" ca="1" si="8"/>
        <v>2</v>
      </c>
      <c r="W38" s="1">
        <f ca="1">V38+'Data Considered'!$B$13-'Data Considered'!$B$14</f>
        <v>0</v>
      </c>
      <c r="X38" s="1">
        <f t="shared" ca="1" si="9"/>
        <v>150</v>
      </c>
      <c r="Y38" s="1">
        <f t="shared" ca="1" si="10"/>
        <v>2700</v>
      </c>
    </row>
    <row r="39" spans="1:25" x14ac:dyDescent="0.3">
      <c r="A39" s="1">
        <f t="shared" si="11"/>
        <v>38</v>
      </c>
      <c r="B39" s="1">
        <f>Demand!B39</f>
        <v>14</v>
      </c>
      <c r="C39" s="1">
        <f t="shared" si="14"/>
        <v>16</v>
      </c>
      <c r="D39" s="1">
        <f t="shared" si="15"/>
        <v>48</v>
      </c>
      <c r="E39" s="1">
        <f ca="1">Distributor!J38</f>
        <v>7</v>
      </c>
      <c r="F39" s="1">
        <f ca="1">IF(A39=1,'Data Considered'!$B$5,Retailer!L38+Retailer!E39)</f>
        <v>31</v>
      </c>
      <c r="G39" s="1">
        <f t="shared" ca="1" si="17"/>
        <v>31</v>
      </c>
      <c r="H39" s="1">
        <f t="shared" ca="1" si="18"/>
        <v>17</v>
      </c>
      <c r="I39" s="1">
        <f t="shared" ca="1" si="5"/>
        <v>31</v>
      </c>
      <c r="J39" s="1">
        <f t="shared" ca="1" si="19"/>
        <v>14</v>
      </c>
      <c r="K39" s="1">
        <f t="shared" ca="1" si="12"/>
        <v>0</v>
      </c>
      <c r="L39" s="1">
        <f t="shared" ca="1" si="16"/>
        <v>17</v>
      </c>
      <c r="M39" s="1">
        <f ca="1">J39*'Data Considered'!$B$7</f>
        <v>2520</v>
      </c>
      <c r="N39" s="1">
        <f ca="1">IF(A39&gt;'Data Considered'!$B$13,OFFSET(Retailer!M39,-'Data Considered'!$B$13,0),0)</f>
        <v>2520</v>
      </c>
      <c r="O39" s="1">
        <f ca="1">E39*'Data Considered'!$B$8</f>
        <v>980</v>
      </c>
      <c r="P39" s="1">
        <f ca="1">IF(A39&gt;'Data Considered'!$B$14,OFFSET(Retailer!O39,-'Data Considered'!$B$14,0),0)</f>
        <v>0</v>
      </c>
      <c r="Q39" s="1">
        <f t="shared" ca="1" si="7"/>
        <v>2125</v>
      </c>
      <c r="R39" s="1">
        <f ca="1">IF(A39=1,'Data Considered'!$B$16,Retailer!R38+Retailer!Q39)</f>
        <v>33160</v>
      </c>
      <c r="S39" s="1">
        <f ca="1">J39*'Data Considered'!$D$7</f>
        <v>140</v>
      </c>
      <c r="T39" s="1">
        <f ca="1">L39*'Data Considered'!$B$20</f>
        <v>255</v>
      </c>
      <c r="U39" s="1">
        <f ca="1">K39*'Data Considered'!$B$24</f>
        <v>0</v>
      </c>
      <c r="V39" s="1">
        <f t="shared" ca="1" si="8"/>
        <v>1</v>
      </c>
      <c r="W39" s="1">
        <f ca="1">V39+'Data Considered'!$B$13-'Data Considered'!$B$14</f>
        <v>-1</v>
      </c>
      <c r="X39" s="1">
        <f t="shared" ca="1" si="9"/>
        <v>140</v>
      </c>
      <c r="Y39" s="1">
        <f t="shared" ca="1" si="10"/>
        <v>2520</v>
      </c>
    </row>
    <row r="40" spans="1:25" x14ac:dyDescent="0.3">
      <c r="A40" s="1">
        <f t="shared" si="11"/>
        <v>39</v>
      </c>
      <c r="B40" s="1">
        <f>Demand!B40</f>
        <v>22</v>
      </c>
      <c r="C40" s="1">
        <f t="shared" si="14"/>
        <v>15</v>
      </c>
      <c r="D40" s="1">
        <f t="shared" si="15"/>
        <v>45</v>
      </c>
      <c r="E40" s="1">
        <f ca="1">Distributor!J39</f>
        <v>0</v>
      </c>
      <c r="F40" s="1">
        <f ca="1">IF(A40=1,'Data Considered'!$B$5,Retailer!L39+Retailer!E40)</f>
        <v>17</v>
      </c>
      <c r="G40" s="1">
        <f t="shared" ca="1" si="17"/>
        <v>34</v>
      </c>
      <c r="H40" s="1">
        <f t="shared" ca="1" si="18"/>
        <v>11</v>
      </c>
      <c r="I40" s="1">
        <f t="shared" ca="1" si="5"/>
        <v>17</v>
      </c>
      <c r="J40" s="1">
        <f t="shared" ca="1" si="19"/>
        <v>17</v>
      </c>
      <c r="K40" s="1">
        <f t="shared" ca="1" si="12"/>
        <v>5</v>
      </c>
      <c r="L40" s="1">
        <f t="shared" ca="1" si="16"/>
        <v>0</v>
      </c>
      <c r="M40" s="1">
        <f ca="1">J40*'Data Considered'!$B$7</f>
        <v>3060</v>
      </c>
      <c r="N40" s="1">
        <f ca="1">IF(A40&gt;'Data Considered'!$B$13,OFFSET(Retailer!M40,-'Data Considered'!$B$13,0),0)</f>
        <v>3060</v>
      </c>
      <c r="O40" s="1">
        <f ca="1">E40*'Data Considered'!$B$8</f>
        <v>0</v>
      </c>
      <c r="P40" s="1">
        <f ca="1">IF(A40&gt;'Data Considered'!$B$14,OFFSET(Retailer!O40,-'Data Considered'!$B$14,0),0)</f>
        <v>5460</v>
      </c>
      <c r="Q40" s="1">
        <f t="shared" ca="1" si="7"/>
        <v>-2570</v>
      </c>
      <c r="R40" s="1">
        <f ca="1">IF(A40=1,'Data Considered'!$B$16,Retailer!R39+Retailer!Q40)</f>
        <v>30590</v>
      </c>
      <c r="S40" s="1">
        <f ca="1">J40*'Data Considered'!$D$7</f>
        <v>170</v>
      </c>
      <c r="T40" s="1">
        <f ca="1">L40*'Data Considered'!$B$20</f>
        <v>0</v>
      </c>
      <c r="U40" s="1">
        <f ca="1">K40*'Data Considered'!$B$24</f>
        <v>200</v>
      </c>
      <c r="V40" s="1">
        <f t="shared" ca="1" si="8"/>
        <v>0</v>
      </c>
      <c r="W40" s="1">
        <f ca="1">V40+'Data Considered'!$B$13-'Data Considered'!$B$14</f>
        <v>-2</v>
      </c>
      <c r="X40" s="1">
        <f t="shared" ca="1" si="9"/>
        <v>5630</v>
      </c>
      <c r="Y40" s="1">
        <f t="shared" ca="1" si="10"/>
        <v>3060</v>
      </c>
    </row>
    <row r="41" spans="1:25" x14ac:dyDescent="0.3">
      <c r="A41" s="1">
        <f t="shared" si="11"/>
        <v>40</v>
      </c>
      <c r="B41" s="1">
        <f>Demand!B41</f>
        <v>22</v>
      </c>
      <c r="C41" s="1">
        <f t="shared" si="14"/>
        <v>18</v>
      </c>
      <c r="D41" s="1">
        <f t="shared" si="15"/>
        <v>54</v>
      </c>
      <c r="E41" s="1">
        <f ca="1">Distributor!J40</f>
        <v>17</v>
      </c>
      <c r="F41" s="1">
        <f ca="1">IF(A41=1,'Data Considered'!$B$5,Retailer!L40+Retailer!E41)</f>
        <v>17</v>
      </c>
      <c r="G41" s="1">
        <f t="shared" ca="1" si="17"/>
        <v>28</v>
      </c>
      <c r="H41" s="1">
        <f t="shared" ca="1" si="18"/>
        <v>26</v>
      </c>
      <c r="I41" s="1">
        <f t="shared" ca="1" si="5"/>
        <v>17</v>
      </c>
      <c r="J41" s="1">
        <f t="shared" ca="1" si="19"/>
        <v>17</v>
      </c>
      <c r="K41" s="1">
        <f t="shared" ca="1" si="12"/>
        <v>5</v>
      </c>
      <c r="L41" s="1">
        <f t="shared" ca="1" si="16"/>
        <v>0</v>
      </c>
      <c r="M41" s="1">
        <f ca="1">J41*'Data Considered'!$B$7</f>
        <v>3060</v>
      </c>
      <c r="N41" s="1">
        <f ca="1">IF(A41&gt;'Data Considered'!$B$13,OFFSET(Retailer!M41,-'Data Considered'!$B$13,0),0)</f>
        <v>3060</v>
      </c>
      <c r="O41" s="1">
        <f ca="1">E41*'Data Considered'!$B$8</f>
        <v>2380</v>
      </c>
      <c r="P41" s="1">
        <f ca="1">IF(A41&gt;'Data Considered'!$B$14,OFFSET(Retailer!O41,-'Data Considered'!$B$14,0),0)</f>
        <v>980</v>
      </c>
      <c r="Q41" s="1">
        <f t="shared" ca="1" si="7"/>
        <v>1910</v>
      </c>
      <c r="R41" s="1">
        <f ca="1">IF(A41=1,'Data Considered'!$B$16,Retailer!R40+Retailer!Q41)</f>
        <v>32500</v>
      </c>
      <c r="S41" s="1">
        <f ca="1">J41*'Data Considered'!$D$7</f>
        <v>170</v>
      </c>
      <c r="T41" s="1">
        <f ca="1">L41*'Data Considered'!$B$20</f>
        <v>0</v>
      </c>
      <c r="U41" s="1">
        <f ca="1">K41*'Data Considered'!$B$24</f>
        <v>200</v>
      </c>
      <c r="V41" s="1">
        <f t="shared" ca="1" si="8"/>
        <v>0</v>
      </c>
      <c r="W41" s="1">
        <f ca="1">V41+'Data Considered'!$B$13-'Data Considered'!$B$14</f>
        <v>-2</v>
      </c>
      <c r="X41" s="1">
        <f t="shared" ca="1" si="9"/>
        <v>1150</v>
      </c>
      <c r="Y41" s="1">
        <f t="shared" ca="1" si="10"/>
        <v>3060</v>
      </c>
    </row>
    <row r="42" spans="1:25" x14ac:dyDescent="0.3">
      <c r="A42" s="1">
        <f t="shared" si="11"/>
        <v>41</v>
      </c>
      <c r="B42" s="1">
        <f>Demand!B42</f>
        <v>19</v>
      </c>
      <c r="C42" s="1">
        <f t="shared" si="14"/>
        <v>22</v>
      </c>
      <c r="D42" s="1">
        <f t="shared" si="15"/>
        <v>66</v>
      </c>
      <c r="E42" s="1">
        <f ca="1">Distributor!J41</f>
        <v>11</v>
      </c>
      <c r="F42" s="1">
        <f ca="1">IF(A42=1,'Data Considered'!$B$5,Retailer!L41+Retailer!E42)</f>
        <v>11</v>
      </c>
      <c r="G42" s="1">
        <f t="shared" ca="1" si="17"/>
        <v>37</v>
      </c>
      <c r="H42" s="1">
        <f t="shared" ca="1" si="18"/>
        <v>29</v>
      </c>
      <c r="I42" s="1">
        <f t="shared" ca="1" si="5"/>
        <v>11</v>
      </c>
      <c r="J42" s="1">
        <f t="shared" ca="1" si="19"/>
        <v>11</v>
      </c>
      <c r="K42" s="1">
        <f t="shared" ca="1" si="12"/>
        <v>8</v>
      </c>
      <c r="L42" s="1">
        <f t="shared" ca="1" si="16"/>
        <v>0</v>
      </c>
      <c r="M42" s="1">
        <f ca="1">J42*'Data Considered'!$B$7</f>
        <v>1980</v>
      </c>
      <c r="N42" s="1">
        <f ca="1">IF(A42&gt;'Data Considered'!$B$13,OFFSET(Retailer!M42,-'Data Considered'!$B$13,0),0)</f>
        <v>1980</v>
      </c>
      <c r="O42" s="1">
        <f ca="1">E42*'Data Considered'!$B$8</f>
        <v>1540</v>
      </c>
      <c r="P42" s="1">
        <f ca="1">IF(A42&gt;'Data Considered'!$B$14,OFFSET(Retailer!O42,-'Data Considered'!$B$14,0),0)</f>
        <v>0</v>
      </c>
      <c r="Q42" s="1">
        <f t="shared" ca="1" si="7"/>
        <v>1870</v>
      </c>
      <c r="R42" s="1">
        <f ca="1">IF(A42=1,'Data Considered'!$B$16,Retailer!R41+Retailer!Q42)</f>
        <v>34370</v>
      </c>
      <c r="S42" s="1">
        <f ca="1">J42*'Data Considered'!$D$7</f>
        <v>110</v>
      </c>
      <c r="T42" s="1">
        <f ca="1">L42*'Data Considered'!$B$20</f>
        <v>0</v>
      </c>
      <c r="U42" s="1">
        <f ca="1">K42*'Data Considered'!$B$24</f>
        <v>320</v>
      </c>
      <c r="V42" s="1">
        <f t="shared" ca="1" si="8"/>
        <v>0</v>
      </c>
      <c r="W42" s="1">
        <f ca="1">V42+'Data Considered'!$B$13-'Data Considered'!$B$14</f>
        <v>-2</v>
      </c>
      <c r="X42" s="1">
        <f t="shared" ca="1" si="9"/>
        <v>110</v>
      </c>
      <c r="Y42" s="1">
        <f t="shared" ca="1" si="10"/>
        <v>1980</v>
      </c>
    </row>
    <row r="43" spans="1:25" x14ac:dyDescent="0.3">
      <c r="A43" s="1">
        <f t="shared" si="11"/>
        <v>42</v>
      </c>
      <c r="B43" s="1">
        <f>Demand!B43</f>
        <v>10</v>
      </c>
      <c r="C43" s="1">
        <f t="shared" si="14"/>
        <v>21</v>
      </c>
      <c r="D43" s="1">
        <f t="shared" si="15"/>
        <v>63</v>
      </c>
      <c r="E43" s="1">
        <f ca="1">Distributor!J42</f>
        <v>26</v>
      </c>
      <c r="F43" s="1">
        <f ca="1">IF(A43=1,'Data Considered'!$B$5,Retailer!L42+Retailer!E43)</f>
        <v>26</v>
      </c>
      <c r="G43" s="1">
        <f t="shared" ca="1" si="17"/>
        <v>55</v>
      </c>
      <c r="H43" s="1">
        <f t="shared" ca="1" si="18"/>
        <v>8</v>
      </c>
      <c r="I43" s="1">
        <f t="shared" ca="1" si="5"/>
        <v>26</v>
      </c>
      <c r="J43" s="1">
        <f t="shared" ca="1" si="19"/>
        <v>10</v>
      </c>
      <c r="K43" s="1">
        <f t="shared" ca="1" si="12"/>
        <v>0</v>
      </c>
      <c r="L43" s="1">
        <f t="shared" ca="1" si="16"/>
        <v>16</v>
      </c>
      <c r="M43" s="1">
        <f ca="1">J43*'Data Considered'!$B$7</f>
        <v>1800</v>
      </c>
      <c r="N43" s="1">
        <f ca="1">IF(A43&gt;'Data Considered'!$B$13,OFFSET(Retailer!M43,-'Data Considered'!$B$13,0),0)</f>
        <v>1800</v>
      </c>
      <c r="O43" s="1">
        <f ca="1">E43*'Data Considered'!$B$8</f>
        <v>3640</v>
      </c>
      <c r="P43" s="1">
        <f ca="1">IF(A43&gt;'Data Considered'!$B$14,OFFSET(Retailer!O43,-'Data Considered'!$B$14,0),0)</f>
        <v>2380</v>
      </c>
      <c r="Q43" s="1">
        <f t="shared" ca="1" si="7"/>
        <v>-920</v>
      </c>
      <c r="R43" s="1">
        <f ca="1">IF(A43=1,'Data Considered'!$B$16,Retailer!R42+Retailer!Q43)</f>
        <v>33450</v>
      </c>
      <c r="S43" s="1">
        <f ca="1">J43*'Data Considered'!$D$7</f>
        <v>100</v>
      </c>
      <c r="T43" s="1">
        <f ca="1">L43*'Data Considered'!$B$20</f>
        <v>240</v>
      </c>
      <c r="U43" s="1">
        <f ca="1">K43*'Data Considered'!$B$24</f>
        <v>0</v>
      </c>
      <c r="V43" s="1">
        <f t="shared" ca="1" si="8"/>
        <v>1</v>
      </c>
      <c r="W43" s="1">
        <f ca="1">V43+'Data Considered'!$B$13-'Data Considered'!$B$14</f>
        <v>-1</v>
      </c>
      <c r="X43" s="1">
        <f t="shared" ca="1" si="9"/>
        <v>2480</v>
      </c>
      <c r="Y43" s="1">
        <f t="shared" ca="1" si="10"/>
        <v>1800</v>
      </c>
    </row>
    <row r="44" spans="1:25" x14ac:dyDescent="0.3">
      <c r="A44" s="1">
        <f t="shared" si="11"/>
        <v>43</v>
      </c>
      <c r="B44" s="1">
        <f>Demand!B44</f>
        <v>22</v>
      </c>
      <c r="C44" s="1">
        <f t="shared" si="14"/>
        <v>15</v>
      </c>
      <c r="D44" s="1">
        <f t="shared" si="15"/>
        <v>45</v>
      </c>
      <c r="E44" s="1">
        <f ca="1">Distributor!J43</f>
        <v>15</v>
      </c>
      <c r="F44" s="1">
        <f ca="1">IF(A44=1,'Data Considered'!$B$5,Retailer!L43+Retailer!E44)</f>
        <v>31</v>
      </c>
      <c r="G44" s="1">
        <f t="shared" ca="1" si="17"/>
        <v>39</v>
      </c>
      <c r="H44" s="1">
        <f t="shared" ca="1" si="18"/>
        <v>6</v>
      </c>
      <c r="I44" s="1">
        <f t="shared" ca="1" si="5"/>
        <v>31</v>
      </c>
      <c r="J44" s="1">
        <f t="shared" ca="1" si="19"/>
        <v>22</v>
      </c>
      <c r="K44" s="1">
        <f t="shared" ca="1" si="12"/>
        <v>0</v>
      </c>
      <c r="L44" s="1">
        <f t="shared" ca="1" si="16"/>
        <v>9</v>
      </c>
      <c r="M44" s="1">
        <f ca="1">J44*'Data Considered'!$B$7</f>
        <v>3960</v>
      </c>
      <c r="N44" s="1">
        <f ca="1">IF(A44&gt;'Data Considered'!$B$13,OFFSET(Retailer!M44,-'Data Considered'!$B$13,0),0)</f>
        <v>3960</v>
      </c>
      <c r="O44" s="1">
        <f ca="1">E44*'Data Considered'!$B$8</f>
        <v>2100</v>
      </c>
      <c r="P44" s="1">
        <f ca="1">IF(A44&gt;'Data Considered'!$B$14,OFFSET(Retailer!O44,-'Data Considered'!$B$14,0),0)</f>
        <v>1540</v>
      </c>
      <c r="Q44" s="1">
        <f t="shared" ca="1" si="7"/>
        <v>2065</v>
      </c>
      <c r="R44" s="1">
        <f ca="1">IF(A44=1,'Data Considered'!$B$16,Retailer!R43+Retailer!Q44)</f>
        <v>35515</v>
      </c>
      <c r="S44" s="1">
        <f ca="1">J44*'Data Considered'!$D$7</f>
        <v>220</v>
      </c>
      <c r="T44" s="1">
        <f ca="1">L44*'Data Considered'!$B$20</f>
        <v>135</v>
      </c>
      <c r="U44" s="1">
        <f ca="1">K44*'Data Considered'!$B$24</f>
        <v>0</v>
      </c>
      <c r="V44" s="1">
        <f t="shared" ca="1" si="8"/>
        <v>1</v>
      </c>
      <c r="W44" s="1">
        <f ca="1">V44+'Data Considered'!$B$13-'Data Considered'!$B$14</f>
        <v>-1</v>
      </c>
      <c r="X44" s="1">
        <f t="shared" ca="1" si="9"/>
        <v>1760</v>
      </c>
      <c r="Y44" s="1">
        <f t="shared" ca="1" si="10"/>
        <v>3960</v>
      </c>
    </row>
    <row r="45" spans="1:25" x14ac:dyDescent="0.3">
      <c r="A45" s="1">
        <f t="shared" si="11"/>
        <v>44</v>
      </c>
      <c r="B45" s="1">
        <f>Demand!B45</f>
        <v>17</v>
      </c>
      <c r="C45" s="1">
        <f t="shared" si="14"/>
        <v>16</v>
      </c>
      <c r="D45" s="1">
        <f t="shared" si="15"/>
        <v>48</v>
      </c>
      <c r="E45" s="1">
        <f ca="1">Distributor!J44</f>
        <v>1</v>
      </c>
      <c r="F45" s="1">
        <f ca="1">IF(A45=1,'Data Considered'!$B$5,Retailer!L44+Retailer!E45)</f>
        <v>10</v>
      </c>
      <c r="G45" s="1">
        <f t="shared" ca="1" si="17"/>
        <v>16</v>
      </c>
      <c r="H45" s="1">
        <f t="shared" ca="1" si="18"/>
        <v>32</v>
      </c>
      <c r="I45" s="1">
        <f t="shared" ca="1" si="5"/>
        <v>10</v>
      </c>
      <c r="J45" s="1">
        <f t="shared" ca="1" si="19"/>
        <v>10</v>
      </c>
      <c r="K45" s="1">
        <f t="shared" ca="1" si="12"/>
        <v>7</v>
      </c>
      <c r="L45" s="1">
        <f t="shared" ca="1" si="16"/>
        <v>0</v>
      </c>
      <c r="M45" s="1">
        <f ca="1">J45*'Data Considered'!$B$7</f>
        <v>1800</v>
      </c>
      <c r="N45" s="1">
        <f ca="1">IF(A45&gt;'Data Considered'!$B$13,OFFSET(Retailer!M45,-'Data Considered'!$B$13,0),0)</f>
        <v>1800</v>
      </c>
      <c r="O45" s="1">
        <f ca="1">E45*'Data Considered'!$B$8</f>
        <v>140</v>
      </c>
      <c r="P45" s="1">
        <f ca="1">IF(A45&gt;'Data Considered'!$B$14,OFFSET(Retailer!O45,-'Data Considered'!$B$14,0),0)</f>
        <v>3640</v>
      </c>
      <c r="Q45" s="1">
        <f t="shared" ca="1" si="7"/>
        <v>-1940</v>
      </c>
      <c r="R45" s="1">
        <f ca="1">IF(A45=1,'Data Considered'!$B$16,Retailer!R44+Retailer!Q45)</f>
        <v>33575</v>
      </c>
      <c r="S45" s="1">
        <f ca="1">J45*'Data Considered'!$D$7</f>
        <v>100</v>
      </c>
      <c r="T45" s="1">
        <f ca="1">L45*'Data Considered'!$B$20</f>
        <v>0</v>
      </c>
      <c r="U45" s="1">
        <f ca="1">K45*'Data Considered'!$B$24</f>
        <v>280</v>
      </c>
      <c r="V45" s="1">
        <f t="shared" ca="1" si="8"/>
        <v>0</v>
      </c>
      <c r="W45" s="1">
        <f ca="1">V45+'Data Considered'!$B$13-'Data Considered'!$B$14</f>
        <v>-2</v>
      </c>
      <c r="X45" s="1">
        <f t="shared" ca="1" si="9"/>
        <v>3740</v>
      </c>
      <c r="Y45" s="1">
        <f t="shared" ca="1" si="10"/>
        <v>1800</v>
      </c>
    </row>
    <row r="46" spans="1:25" x14ac:dyDescent="0.3">
      <c r="A46" s="1">
        <f t="shared" si="11"/>
        <v>45</v>
      </c>
      <c r="B46" s="1">
        <f>Demand!B46</f>
        <v>31</v>
      </c>
      <c r="C46" s="1">
        <f t="shared" si="14"/>
        <v>20</v>
      </c>
      <c r="D46" s="1">
        <f t="shared" si="15"/>
        <v>60</v>
      </c>
      <c r="E46" s="1">
        <f ca="1">Distributor!J45</f>
        <v>6</v>
      </c>
      <c r="F46" s="1">
        <f ca="1">IF(A46=1,'Data Considered'!$B$5,Retailer!L45+Retailer!E46)</f>
        <v>6</v>
      </c>
      <c r="G46" s="1">
        <f t="shared" ca="1" si="17"/>
        <v>38</v>
      </c>
      <c r="H46" s="1">
        <f t="shared" ca="1" si="18"/>
        <v>22</v>
      </c>
      <c r="I46" s="1">
        <f t="shared" ca="1" si="5"/>
        <v>6</v>
      </c>
      <c r="J46" s="1">
        <f t="shared" ca="1" si="19"/>
        <v>6</v>
      </c>
      <c r="K46" s="1">
        <f t="shared" ca="1" si="12"/>
        <v>25</v>
      </c>
      <c r="L46" s="1">
        <f t="shared" ca="1" si="16"/>
        <v>0</v>
      </c>
      <c r="M46" s="1">
        <f ca="1">J46*'Data Considered'!$B$7</f>
        <v>1080</v>
      </c>
      <c r="N46" s="1">
        <f ca="1">IF(A46&gt;'Data Considered'!$B$13,OFFSET(Retailer!M46,-'Data Considered'!$B$13,0),0)</f>
        <v>1080</v>
      </c>
      <c r="O46" s="1">
        <f ca="1">E46*'Data Considered'!$B$8</f>
        <v>840</v>
      </c>
      <c r="P46" s="1">
        <f ca="1">IF(A46&gt;'Data Considered'!$B$14,OFFSET(Retailer!O46,-'Data Considered'!$B$14,0),0)</f>
        <v>2100</v>
      </c>
      <c r="Q46" s="1">
        <f t="shared" ca="1" si="7"/>
        <v>-1080</v>
      </c>
      <c r="R46" s="1">
        <f ca="1">IF(A46=1,'Data Considered'!$B$16,Retailer!R45+Retailer!Q46)</f>
        <v>32495</v>
      </c>
      <c r="S46" s="1">
        <f ca="1">J46*'Data Considered'!$D$7</f>
        <v>60</v>
      </c>
      <c r="T46" s="1">
        <f ca="1">L46*'Data Considered'!$B$20</f>
        <v>0</v>
      </c>
      <c r="U46" s="1">
        <f ca="1">K46*'Data Considered'!$B$24</f>
        <v>1000</v>
      </c>
      <c r="V46" s="1">
        <f t="shared" ca="1" si="8"/>
        <v>0</v>
      </c>
      <c r="W46" s="1">
        <f ca="1">V46+'Data Considered'!$B$13-'Data Considered'!$B$14</f>
        <v>-2</v>
      </c>
      <c r="X46" s="1">
        <f t="shared" ca="1" si="9"/>
        <v>2160</v>
      </c>
      <c r="Y46" s="1">
        <f t="shared" ca="1" si="10"/>
        <v>1080</v>
      </c>
    </row>
    <row r="47" spans="1:25" x14ac:dyDescent="0.3">
      <c r="A47" s="1">
        <f t="shared" si="11"/>
        <v>46</v>
      </c>
      <c r="B47" s="1">
        <f>Demand!B47</f>
        <v>10</v>
      </c>
      <c r="C47" s="1">
        <f t="shared" si="14"/>
        <v>24</v>
      </c>
      <c r="D47" s="1">
        <f t="shared" si="15"/>
        <v>72</v>
      </c>
      <c r="E47" s="1">
        <f ca="1">Distributor!J46</f>
        <v>32</v>
      </c>
      <c r="F47" s="1">
        <f ca="1">IF(A47=1,'Data Considered'!$B$5,Retailer!L46+Retailer!E47)</f>
        <v>32</v>
      </c>
      <c r="G47" s="1">
        <f t="shared" ca="1" si="17"/>
        <v>54</v>
      </c>
      <c r="H47" s="1">
        <f t="shared" ca="1" si="18"/>
        <v>18</v>
      </c>
      <c r="I47" s="1">
        <f t="shared" ca="1" si="5"/>
        <v>32</v>
      </c>
      <c r="J47" s="1">
        <f t="shared" ca="1" si="19"/>
        <v>10</v>
      </c>
      <c r="K47" s="1">
        <f t="shared" ca="1" si="12"/>
        <v>0</v>
      </c>
      <c r="L47" s="1">
        <f t="shared" ca="1" si="16"/>
        <v>22</v>
      </c>
      <c r="M47" s="1">
        <f ca="1">J47*'Data Considered'!$B$7</f>
        <v>1800</v>
      </c>
      <c r="N47" s="1">
        <f ca="1">IF(A47&gt;'Data Considered'!$B$13,OFFSET(Retailer!M47,-'Data Considered'!$B$13,0),0)</f>
        <v>1800</v>
      </c>
      <c r="O47" s="1">
        <f ca="1">E47*'Data Considered'!$B$8</f>
        <v>4480</v>
      </c>
      <c r="P47" s="1">
        <f ca="1">IF(A47&gt;'Data Considered'!$B$14,OFFSET(Retailer!O47,-'Data Considered'!$B$14,0),0)</f>
        <v>140</v>
      </c>
      <c r="Q47" s="1">
        <f t="shared" ca="1" si="7"/>
        <v>1230</v>
      </c>
      <c r="R47" s="1">
        <f ca="1">IF(A47=1,'Data Considered'!$B$16,Retailer!R46+Retailer!Q47)</f>
        <v>33725</v>
      </c>
      <c r="S47" s="1">
        <f ca="1">J47*'Data Considered'!$D$7</f>
        <v>100</v>
      </c>
      <c r="T47" s="1">
        <f ca="1">L47*'Data Considered'!$B$20</f>
        <v>330</v>
      </c>
      <c r="U47" s="1">
        <f ca="1">K47*'Data Considered'!$B$24</f>
        <v>0</v>
      </c>
      <c r="V47" s="1">
        <f t="shared" ca="1" si="8"/>
        <v>2</v>
      </c>
      <c r="W47" s="1">
        <f ca="1">V47+'Data Considered'!$B$13-'Data Considered'!$B$14</f>
        <v>0</v>
      </c>
      <c r="X47" s="1">
        <f t="shared" ca="1" si="9"/>
        <v>240</v>
      </c>
      <c r="Y47" s="1">
        <f t="shared" ca="1" si="10"/>
        <v>1800</v>
      </c>
    </row>
    <row r="48" spans="1:25" x14ac:dyDescent="0.3">
      <c r="A48" s="1">
        <f t="shared" si="11"/>
        <v>47</v>
      </c>
      <c r="B48" s="1">
        <f>Demand!B48</f>
        <v>27</v>
      </c>
      <c r="C48" s="1">
        <f t="shared" si="14"/>
        <v>21</v>
      </c>
      <c r="D48" s="1">
        <f t="shared" si="15"/>
        <v>63</v>
      </c>
      <c r="E48" s="1">
        <f ca="1">Distributor!J47</f>
        <v>22</v>
      </c>
      <c r="F48" s="1">
        <f ca="1">IF(A48=1,'Data Considered'!$B$5,Retailer!L47+Retailer!E48)</f>
        <v>44</v>
      </c>
      <c r="G48" s="1">
        <f t="shared" ca="1" si="17"/>
        <v>62</v>
      </c>
      <c r="H48" s="1">
        <f t="shared" ca="1" si="18"/>
        <v>1</v>
      </c>
      <c r="I48" s="1">
        <f t="shared" ca="1" si="5"/>
        <v>44</v>
      </c>
      <c r="J48" s="1">
        <f t="shared" ca="1" si="19"/>
        <v>27</v>
      </c>
      <c r="K48" s="1">
        <f t="shared" ca="1" si="12"/>
        <v>0</v>
      </c>
      <c r="L48" s="1">
        <f t="shared" ca="1" si="16"/>
        <v>17</v>
      </c>
      <c r="M48" s="1">
        <f ca="1">J48*'Data Considered'!$B$7</f>
        <v>4860</v>
      </c>
      <c r="N48" s="1">
        <f ca="1">IF(A48&gt;'Data Considered'!$B$13,OFFSET(Retailer!M48,-'Data Considered'!$B$13,0),0)</f>
        <v>4860</v>
      </c>
      <c r="O48" s="1">
        <f ca="1">E48*'Data Considered'!$B$8</f>
        <v>3080</v>
      </c>
      <c r="P48" s="1">
        <f ca="1">IF(A48&gt;'Data Considered'!$B$14,OFFSET(Retailer!O48,-'Data Considered'!$B$14,0),0)</f>
        <v>840</v>
      </c>
      <c r="Q48" s="1">
        <f t="shared" ca="1" si="7"/>
        <v>3495</v>
      </c>
      <c r="R48" s="1">
        <f ca="1">IF(A48=1,'Data Considered'!$B$16,Retailer!R47+Retailer!Q48)</f>
        <v>37220</v>
      </c>
      <c r="S48" s="1">
        <f ca="1">J48*'Data Considered'!$D$7</f>
        <v>270</v>
      </c>
      <c r="T48" s="1">
        <f ca="1">L48*'Data Considered'!$B$20</f>
        <v>255</v>
      </c>
      <c r="U48" s="1">
        <f ca="1">K48*'Data Considered'!$B$24</f>
        <v>0</v>
      </c>
      <c r="V48" s="1">
        <f t="shared" ca="1" si="8"/>
        <v>1</v>
      </c>
      <c r="W48" s="1">
        <f ca="1">V48+'Data Considered'!$B$13-'Data Considered'!$B$14</f>
        <v>-1</v>
      </c>
      <c r="X48" s="1">
        <f t="shared" ca="1" si="9"/>
        <v>1110</v>
      </c>
      <c r="Y48" s="1">
        <f t="shared" ca="1" si="10"/>
        <v>4860</v>
      </c>
    </row>
    <row r="49" spans="1:25" x14ac:dyDescent="0.3">
      <c r="A49" s="1">
        <f t="shared" si="11"/>
        <v>48</v>
      </c>
      <c r="B49" s="1">
        <f>Demand!B49</f>
        <v>27</v>
      </c>
      <c r="C49" s="1">
        <f t="shared" si="14"/>
        <v>19</v>
      </c>
      <c r="D49" s="1">
        <f t="shared" si="15"/>
        <v>57</v>
      </c>
      <c r="E49" s="1">
        <f ca="1">Distributor!J48</f>
        <v>18</v>
      </c>
      <c r="F49" s="1">
        <f ca="1">IF(A49=1,'Data Considered'!$B$5,Retailer!L48+Retailer!E49)</f>
        <v>35</v>
      </c>
      <c r="G49" s="1">
        <f t="shared" ca="1" si="17"/>
        <v>36</v>
      </c>
      <c r="H49" s="1">
        <f t="shared" ca="1" si="18"/>
        <v>21</v>
      </c>
      <c r="I49" s="1">
        <f t="shared" ca="1" si="5"/>
        <v>35</v>
      </c>
      <c r="J49" s="1">
        <f t="shared" ca="1" si="19"/>
        <v>27</v>
      </c>
      <c r="K49" s="1">
        <f t="shared" ca="1" si="12"/>
        <v>0</v>
      </c>
      <c r="L49" s="1">
        <f t="shared" ca="1" si="16"/>
        <v>8</v>
      </c>
      <c r="M49" s="1">
        <f ca="1">J49*'Data Considered'!$B$7</f>
        <v>4860</v>
      </c>
      <c r="N49" s="1">
        <f ca="1">IF(A49&gt;'Data Considered'!$B$13,OFFSET(Retailer!M49,-'Data Considered'!$B$13,0),0)</f>
        <v>4860</v>
      </c>
      <c r="O49" s="1">
        <f ca="1">E49*'Data Considered'!$B$8</f>
        <v>2520</v>
      </c>
      <c r="P49" s="1">
        <f ca="1">IF(A49&gt;'Data Considered'!$B$14,OFFSET(Retailer!O49,-'Data Considered'!$B$14,0),0)</f>
        <v>4480</v>
      </c>
      <c r="Q49" s="1">
        <f t="shared" ca="1" si="7"/>
        <v>-10</v>
      </c>
      <c r="R49" s="1">
        <f ca="1">IF(A49=1,'Data Considered'!$B$16,Retailer!R48+Retailer!Q49)</f>
        <v>37210</v>
      </c>
      <c r="S49" s="1">
        <f ca="1">J49*'Data Considered'!$D$7</f>
        <v>270</v>
      </c>
      <c r="T49" s="1">
        <f ca="1">L49*'Data Considered'!$B$20</f>
        <v>120</v>
      </c>
      <c r="U49" s="1">
        <f ca="1">K49*'Data Considered'!$B$24</f>
        <v>0</v>
      </c>
      <c r="V49" s="1">
        <f t="shared" ca="1" si="8"/>
        <v>1</v>
      </c>
      <c r="W49" s="1">
        <f ca="1">V49+'Data Considered'!$B$13-'Data Considered'!$B$14</f>
        <v>-1</v>
      </c>
      <c r="X49" s="1">
        <f t="shared" ca="1" si="9"/>
        <v>4750</v>
      </c>
      <c r="Y49" s="1">
        <f t="shared" ca="1" si="10"/>
        <v>4860</v>
      </c>
    </row>
    <row r="50" spans="1:25" x14ac:dyDescent="0.3">
      <c r="A50" s="1">
        <f t="shared" si="11"/>
        <v>49</v>
      </c>
      <c r="B50" s="1">
        <f>Demand!B50</f>
        <v>16</v>
      </c>
      <c r="C50" s="1">
        <f t="shared" si="14"/>
        <v>27</v>
      </c>
      <c r="D50" s="1">
        <f t="shared" si="15"/>
        <v>81</v>
      </c>
      <c r="E50" s="1">
        <f ca="1">Distributor!J49</f>
        <v>1</v>
      </c>
      <c r="F50" s="1">
        <f ca="1">IF(A50=1,'Data Considered'!$B$5,Retailer!L49+Retailer!E50)</f>
        <v>9</v>
      </c>
      <c r="G50" s="1">
        <f t="shared" ca="1" si="17"/>
        <v>30</v>
      </c>
      <c r="H50" s="1">
        <f t="shared" ca="1" si="18"/>
        <v>51</v>
      </c>
      <c r="I50" s="1">
        <f t="shared" ca="1" si="5"/>
        <v>9</v>
      </c>
      <c r="J50" s="1">
        <f t="shared" ca="1" si="19"/>
        <v>9</v>
      </c>
      <c r="K50" s="1">
        <f t="shared" ca="1" si="12"/>
        <v>7</v>
      </c>
      <c r="L50" s="1">
        <f t="shared" ca="1" si="16"/>
        <v>0</v>
      </c>
      <c r="M50" s="1">
        <f ca="1">J50*'Data Considered'!$B$7</f>
        <v>1620</v>
      </c>
      <c r="N50" s="1">
        <f ca="1">IF(A50&gt;'Data Considered'!$B$13,OFFSET(Retailer!M50,-'Data Considered'!$B$13,0),0)</f>
        <v>1620</v>
      </c>
      <c r="O50" s="1">
        <f ca="1">E50*'Data Considered'!$B$8</f>
        <v>140</v>
      </c>
      <c r="P50" s="1">
        <f ca="1">IF(A50&gt;'Data Considered'!$B$14,OFFSET(Retailer!O50,-'Data Considered'!$B$14,0),0)</f>
        <v>3080</v>
      </c>
      <c r="Q50" s="1">
        <f t="shared" ca="1" si="7"/>
        <v>-1550</v>
      </c>
      <c r="R50" s="1">
        <f ca="1">IF(A50=1,'Data Considered'!$B$16,Retailer!R49+Retailer!Q50)</f>
        <v>35660</v>
      </c>
      <c r="S50" s="1">
        <f ca="1">J50*'Data Considered'!$D$7</f>
        <v>90</v>
      </c>
      <c r="T50" s="1">
        <f ca="1">L50*'Data Considered'!$B$20</f>
        <v>0</v>
      </c>
      <c r="U50" s="1">
        <f ca="1">K50*'Data Considered'!$B$24</f>
        <v>280</v>
      </c>
      <c r="V50" s="1">
        <f t="shared" ca="1" si="8"/>
        <v>0</v>
      </c>
      <c r="W50" s="1">
        <f ca="1">V50+'Data Considered'!$B$13-'Data Considered'!$B$14</f>
        <v>-2</v>
      </c>
      <c r="X50" s="1">
        <f t="shared" ca="1" si="9"/>
        <v>3170</v>
      </c>
      <c r="Y50" s="1">
        <f t="shared" ca="1" si="10"/>
        <v>1620</v>
      </c>
    </row>
    <row r="51" spans="1:25" x14ac:dyDescent="0.3">
      <c r="A51" s="1">
        <f t="shared" si="11"/>
        <v>50</v>
      </c>
      <c r="B51" s="1">
        <f>Demand!B51</f>
        <v>17</v>
      </c>
      <c r="C51" s="1">
        <f t="shared" si="14"/>
        <v>22</v>
      </c>
      <c r="D51" s="1">
        <f t="shared" si="15"/>
        <v>66</v>
      </c>
      <c r="E51" s="1">
        <f ca="1">Distributor!J50</f>
        <v>21</v>
      </c>
      <c r="F51" s="1">
        <f ca="1">IF(A51=1,'Data Considered'!$B$5,Retailer!L50+Retailer!E51)</f>
        <v>21</v>
      </c>
      <c r="G51" s="1">
        <f t="shared" ca="1" si="17"/>
        <v>72</v>
      </c>
      <c r="H51" s="1">
        <f t="shared" ca="1" si="18"/>
        <v>0</v>
      </c>
      <c r="I51" s="1">
        <f t="shared" ca="1" si="5"/>
        <v>21</v>
      </c>
      <c r="J51" s="1">
        <f t="shared" ca="1" si="19"/>
        <v>17</v>
      </c>
      <c r="K51" s="1">
        <f t="shared" ca="1" si="12"/>
        <v>0</v>
      </c>
      <c r="L51" s="1">
        <f t="shared" ca="1" si="16"/>
        <v>4</v>
      </c>
      <c r="M51" s="1">
        <f ca="1">J51*'Data Considered'!$B$7</f>
        <v>3060</v>
      </c>
      <c r="N51" s="1">
        <f ca="1">IF(A51&gt;'Data Considered'!$B$13,OFFSET(Retailer!M51,-'Data Considered'!$B$13,0),0)</f>
        <v>3060</v>
      </c>
      <c r="O51" s="1">
        <f ca="1">E51*'Data Considered'!$B$8</f>
        <v>2940</v>
      </c>
      <c r="P51" s="1">
        <f ca="1">IF(A51&gt;'Data Considered'!$B$14,OFFSET(Retailer!O51,-'Data Considered'!$B$14,0),0)</f>
        <v>2520</v>
      </c>
      <c r="Q51" s="1">
        <f t="shared" ca="1" si="7"/>
        <v>310</v>
      </c>
      <c r="R51" s="1">
        <f ca="1">IF(A51=1,'Data Considered'!$B$16,Retailer!R50+Retailer!Q51)</f>
        <v>35970</v>
      </c>
      <c r="S51" s="1">
        <f ca="1">J51*'Data Considered'!$D$7</f>
        <v>170</v>
      </c>
      <c r="T51" s="1">
        <f ca="1">L51*'Data Considered'!$B$20</f>
        <v>60</v>
      </c>
      <c r="U51" s="1">
        <f ca="1">K51*'Data Considered'!$B$24</f>
        <v>0</v>
      </c>
      <c r="V51" s="1">
        <f t="shared" ca="1" si="8"/>
        <v>1</v>
      </c>
      <c r="W51" s="1">
        <f ca="1">V51+'Data Considered'!$B$13-'Data Considered'!$B$14</f>
        <v>-1</v>
      </c>
      <c r="X51" s="1">
        <f t="shared" ca="1" si="9"/>
        <v>2690</v>
      </c>
      <c r="Y51" s="1">
        <f t="shared" ca="1" si="10"/>
        <v>3060</v>
      </c>
    </row>
    <row r="52" spans="1:25" x14ac:dyDescent="0.3">
      <c r="A52" s="1">
        <f t="shared" si="11"/>
        <v>51</v>
      </c>
      <c r="B52" s="1">
        <f>Demand!B52</f>
        <v>16</v>
      </c>
      <c r="C52" s="1">
        <f t="shared" si="14"/>
        <v>17</v>
      </c>
      <c r="D52" s="1">
        <f t="shared" si="15"/>
        <v>51</v>
      </c>
      <c r="E52" s="1">
        <f ca="1">Distributor!J51</f>
        <v>41</v>
      </c>
      <c r="F52" s="1">
        <f ca="1">IF(A52=1,'Data Considered'!$B$5,Retailer!L51+Retailer!E52)</f>
        <v>45</v>
      </c>
      <c r="G52" s="1">
        <f t="shared" ca="1" si="17"/>
        <v>45</v>
      </c>
      <c r="H52" s="1">
        <f t="shared" ca="1" si="18"/>
        <v>6</v>
      </c>
      <c r="I52" s="1">
        <f t="shared" ca="1" si="5"/>
        <v>45</v>
      </c>
      <c r="J52" s="1">
        <f t="shared" ca="1" si="19"/>
        <v>16</v>
      </c>
      <c r="K52" s="1">
        <f t="shared" ca="1" si="12"/>
        <v>0</v>
      </c>
      <c r="L52" s="1">
        <f t="shared" ca="1" si="16"/>
        <v>29</v>
      </c>
      <c r="M52" s="1">
        <f ca="1">J52*'Data Considered'!$B$7</f>
        <v>2880</v>
      </c>
      <c r="N52" s="1">
        <f ca="1">IF(A52&gt;'Data Considered'!$B$13,OFFSET(Retailer!M52,-'Data Considered'!$B$13,0),0)</f>
        <v>2880</v>
      </c>
      <c r="O52" s="1">
        <f ca="1">E52*'Data Considered'!$B$8</f>
        <v>5740</v>
      </c>
      <c r="P52" s="1">
        <f ca="1">IF(A52&gt;'Data Considered'!$B$14,OFFSET(Retailer!O52,-'Data Considered'!$B$14,0),0)</f>
        <v>140</v>
      </c>
      <c r="Q52" s="1">
        <f t="shared" ca="1" si="7"/>
        <v>2145</v>
      </c>
      <c r="R52" s="1">
        <f ca="1">IF(A52=1,'Data Considered'!$B$16,Retailer!R51+Retailer!Q52)</f>
        <v>38115</v>
      </c>
      <c r="S52" s="1">
        <f ca="1">J52*'Data Considered'!$D$7</f>
        <v>160</v>
      </c>
      <c r="T52" s="1">
        <f ca="1">L52*'Data Considered'!$B$20</f>
        <v>435</v>
      </c>
      <c r="U52" s="1">
        <f ca="1">K52*'Data Considered'!$B$24</f>
        <v>0</v>
      </c>
      <c r="V52" s="1">
        <f t="shared" ca="1" si="8"/>
        <v>2</v>
      </c>
      <c r="W52" s="1">
        <f ca="1">V52+'Data Considered'!$B$13-'Data Considered'!$B$14</f>
        <v>0</v>
      </c>
      <c r="X52" s="1">
        <f t="shared" ca="1" si="9"/>
        <v>300</v>
      </c>
      <c r="Y52" s="1">
        <f t="shared" ca="1" si="10"/>
        <v>2880</v>
      </c>
    </row>
    <row r="53" spans="1:25" x14ac:dyDescent="0.3">
      <c r="A53" s="1">
        <f t="shared" si="11"/>
        <v>52</v>
      </c>
      <c r="B53" s="1">
        <f>Demand!B53</f>
        <v>16</v>
      </c>
      <c r="C53" s="1">
        <f t="shared" si="14"/>
        <v>17</v>
      </c>
      <c r="D53" s="1">
        <f t="shared" si="15"/>
        <v>51</v>
      </c>
      <c r="E53" s="1">
        <f ca="1">Distributor!J52</f>
        <v>0</v>
      </c>
      <c r="F53" s="1">
        <f ca="1">IF(A53=1,'Data Considered'!$B$5,Retailer!L52+Retailer!E53)</f>
        <v>29</v>
      </c>
      <c r="G53" s="1">
        <f t="shared" ca="1" si="17"/>
        <v>35</v>
      </c>
      <c r="H53" s="1">
        <f t="shared" ca="1" si="18"/>
        <v>16</v>
      </c>
      <c r="I53" s="1">
        <f t="shared" ca="1" si="5"/>
        <v>29</v>
      </c>
      <c r="J53" s="1">
        <f t="shared" ca="1" si="19"/>
        <v>16</v>
      </c>
      <c r="K53" s="1">
        <f t="shared" ca="1" si="12"/>
        <v>0</v>
      </c>
      <c r="L53" s="1">
        <f t="shared" ca="1" si="16"/>
        <v>13</v>
      </c>
      <c r="M53" s="1">
        <f ca="1">J53*'Data Considered'!$B$7</f>
        <v>2880</v>
      </c>
      <c r="N53" s="1">
        <f ca="1">IF(A53&gt;'Data Considered'!$B$13,OFFSET(Retailer!M53,-'Data Considered'!$B$13,0),0)</f>
        <v>2880</v>
      </c>
      <c r="O53" s="1">
        <f ca="1">E53*'Data Considered'!$B$8</f>
        <v>0</v>
      </c>
      <c r="P53" s="1">
        <f ca="1">IF(A53&gt;'Data Considered'!$B$14,OFFSET(Retailer!O53,-'Data Considered'!$B$14,0),0)</f>
        <v>2940</v>
      </c>
      <c r="Q53" s="1">
        <f t="shared" ca="1" si="7"/>
        <v>-415</v>
      </c>
      <c r="R53" s="1">
        <f ca="1">IF(A53=1,'Data Considered'!$B$16,Retailer!R52+Retailer!Q53)</f>
        <v>37700</v>
      </c>
      <c r="S53" s="1">
        <f ca="1">J53*'Data Considered'!$D$7</f>
        <v>160</v>
      </c>
      <c r="T53" s="1">
        <f ca="1">L53*'Data Considered'!$B$20</f>
        <v>195</v>
      </c>
      <c r="U53" s="1">
        <f ca="1">K53*'Data Considered'!$B$24</f>
        <v>0</v>
      </c>
      <c r="V53" s="1">
        <f t="shared" ca="1" si="8"/>
        <v>1</v>
      </c>
      <c r="W53" s="1">
        <f ca="1">V53+'Data Considered'!$B$13-'Data Considered'!$B$14</f>
        <v>-1</v>
      </c>
      <c r="X53" s="1">
        <f t="shared" ca="1" si="9"/>
        <v>3100</v>
      </c>
      <c r="Y53" s="1">
        <f t="shared" ca="1" si="10"/>
        <v>2880</v>
      </c>
    </row>
    <row r="54" spans="1:25" x14ac:dyDescent="0.3">
      <c r="A54" s="1">
        <f t="shared" si="11"/>
        <v>53</v>
      </c>
      <c r="B54" s="1">
        <f>Demand!B54</f>
        <v>22</v>
      </c>
      <c r="C54" s="1">
        <f t="shared" si="14"/>
        <v>16</v>
      </c>
      <c r="D54" s="1">
        <f t="shared" si="15"/>
        <v>48</v>
      </c>
      <c r="E54" s="1">
        <f ca="1">Distributor!J53</f>
        <v>0</v>
      </c>
      <c r="F54" s="1">
        <f ca="1">IF(A54=1,'Data Considered'!$B$5,Retailer!L53+Retailer!E54)</f>
        <v>13</v>
      </c>
      <c r="G54" s="1">
        <f t="shared" ca="1" si="17"/>
        <v>29</v>
      </c>
      <c r="H54" s="1">
        <f t="shared" ca="1" si="18"/>
        <v>19</v>
      </c>
      <c r="I54" s="1">
        <f t="shared" ca="1" si="5"/>
        <v>13</v>
      </c>
      <c r="J54" s="1">
        <f t="shared" ca="1" si="19"/>
        <v>13</v>
      </c>
      <c r="K54" s="1">
        <f t="shared" ca="1" si="12"/>
        <v>9</v>
      </c>
      <c r="L54" s="1">
        <f t="shared" ca="1" si="16"/>
        <v>0</v>
      </c>
      <c r="M54" s="1">
        <f ca="1">J54*'Data Considered'!$B$7</f>
        <v>2340</v>
      </c>
      <c r="N54" s="1">
        <f ca="1">IF(A54&gt;'Data Considered'!$B$13,OFFSET(Retailer!M54,-'Data Considered'!$B$13,0),0)</f>
        <v>2340</v>
      </c>
      <c r="O54" s="1">
        <f ca="1">E54*'Data Considered'!$B$8</f>
        <v>0</v>
      </c>
      <c r="P54" s="1">
        <f ca="1">IF(A54&gt;'Data Considered'!$B$14,OFFSET(Retailer!O54,-'Data Considered'!$B$14,0),0)</f>
        <v>5740</v>
      </c>
      <c r="Q54" s="1">
        <f t="shared" ca="1" si="7"/>
        <v>-3530</v>
      </c>
      <c r="R54" s="1">
        <f ca="1">IF(A54=1,'Data Considered'!$B$16,Retailer!R53+Retailer!Q54)</f>
        <v>34170</v>
      </c>
      <c r="S54" s="1">
        <f ca="1">J54*'Data Considered'!$D$7</f>
        <v>130</v>
      </c>
      <c r="T54" s="1">
        <f ca="1">L54*'Data Considered'!$B$20</f>
        <v>0</v>
      </c>
      <c r="U54" s="1">
        <f ca="1">K54*'Data Considered'!$B$24</f>
        <v>360</v>
      </c>
      <c r="V54" s="1">
        <f t="shared" ca="1" si="8"/>
        <v>0</v>
      </c>
      <c r="W54" s="1">
        <f ca="1">V54+'Data Considered'!$B$13-'Data Considered'!$B$14</f>
        <v>-2</v>
      </c>
      <c r="X54" s="1">
        <f t="shared" ca="1" si="9"/>
        <v>5870</v>
      </c>
      <c r="Y54" s="1">
        <f t="shared" ca="1" si="10"/>
        <v>2340</v>
      </c>
    </row>
    <row r="55" spans="1:25" x14ac:dyDescent="0.3">
      <c r="A55" s="1">
        <f t="shared" si="11"/>
        <v>54</v>
      </c>
      <c r="B55" s="1">
        <f>Demand!B55</f>
        <v>24</v>
      </c>
      <c r="C55" s="1">
        <f t="shared" si="14"/>
        <v>19</v>
      </c>
      <c r="D55" s="1">
        <f t="shared" si="15"/>
        <v>57</v>
      </c>
      <c r="E55" s="1">
        <f ca="1">Distributor!J54</f>
        <v>16</v>
      </c>
      <c r="F55" s="1">
        <f ca="1">IF(A55=1,'Data Considered'!$B$5,Retailer!L54+Retailer!E55)</f>
        <v>16</v>
      </c>
      <c r="G55" s="1">
        <f t="shared" ca="1" si="17"/>
        <v>35</v>
      </c>
      <c r="H55" s="1">
        <f t="shared" ca="1" si="18"/>
        <v>22</v>
      </c>
      <c r="I55" s="1">
        <f t="shared" ca="1" si="5"/>
        <v>16</v>
      </c>
      <c r="J55" s="1">
        <f t="shared" ca="1" si="19"/>
        <v>16</v>
      </c>
      <c r="K55" s="1">
        <f t="shared" ca="1" si="12"/>
        <v>8</v>
      </c>
      <c r="L55" s="1">
        <f t="shared" ca="1" si="16"/>
        <v>0</v>
      </c>
      <c r="M55" s="1">
        <f ca="1">J55*'Data Considered'!$B$7</f>
        <v>2880</v>
      </c>
      <c r="N55" s="1">
        <f ca="1">IF(A55&gt;'Data Considered'!$B$13,OFFSET(Retailer!M55,-'Data Considered'!$B$13,0),0)</f>
        <v>2880</v>
      </c>
      <c r="O55" s="1">
        <f ca="1">E55*'Data Considered'!$B$8</f>
        <v>2240</v>
      </c>
      <c r="P55" s="1">
        <f ca="1">IF(A55&gt;'Data Considered'!$B$14,OFFSET(Retailer!O55,-'Data Considered'!$B$14,0),0)</f>
        <v>0</v>
      </c>
      <c r="Q55" s="1">
        <f t="shared" ca="1" si="7"/>
        <v>2720</v>
      </c>
      <c r="R55" s="1">
        <f ca="1">IF(A55=1,'Data Considered'!$B$16,Retailer!R54+Retailer!Q55)</f>
        <v>36890</v>
      </c>
      <c r="S55" s="1">
        <f ca="1">J55*'Data Considered'!$D$7</f>
        <v>160</v>
      </c>
      <c r="T55" s="1">
        <f ca="1">L55*'Data Considered'!$B$20</f>
        <v>0</v>
      </c>
      <c r="U55" s="1">
        <f ca="1">K55*'Data Considered'!$B$24</f>
        <v>320</v>
      </c>
      <c r="V55" s="1">
        <f t="shared" ca="1" si="8"/>
        <v>0</v>
      </c>
      <c r="W55" s="1">
        <f ca="1">V55+'Data Considered'!$B$13-'Data Considered'!$B$14</f>
        <v>-2</v>
      </c>
      <c r="X55" s="1">
        <f t="shared" ca="1" si="9"/>
        <v>160</v>
      </c>
      <c r="Y55" s="1">
        <f t="shared" ca="1" si="10"/>
        <v>2880</v>
      </c>
    </row>
    <row r="56" spans="1:25" x14ac:dyDescent="0.3">
      <c r="A56" s="1">
        <f t="shared" si="11"/>
        <v>55</v>
      </c>
      <c r="B56" s="1">
        <f>Demand!B56</f>
        <v>15</v>
      </c>
      <c r="C56" s="1">
        <f t="shared" si="14"/>
        <v>23</v>
      </c>
      <c r="D56" s="1">
        <f t="shared" si="15"/>
        <v>69</v>
      </c>
      <c r="E56" s="1">
        <f ca="1">Distributor!J55</f>
        <v>19</v>
      </c>
      <c r="F56" s="1">
        <f ca="1">IF(A56=1,'Data Considered'!$B$5,Retailer!L55+Retailer!E56)</f>
        <v>19</v>
      </c>
      <c r="G56" s="1">
        <f t="shared" ca="1" si="17"/>
        <v>41</v>
      </c>
      <c r="H56" s="1">
        <f t="shared" ca="1" si="18"/>
        <v>28</v>
      </c>
      <c r="I56" s="1">
        <f t="shared" ca="1" si="5"/>
        <v>19</v>
      </c>
      <c r="J56" s="1">
        <f t="shared" ca="1" si="19"/>
        <v>15</v>
      </c>
      <c r="K56" s="1">
        <f t="shared" ca="1" si="12"/>
        <v>0</v>
      </c>
      <c r="L56" s="1">
        <f t="shared" ca="1" si="16"/>
        <v>4</v>
      </c>
      <c r="M56" s="1">
        <f ca="1">J56*'Data Considered'!$B$7</f>
        <v>2700</v>
      </c>
      <c r="N56" s="1">
        <f ca="1">IF(A56&gt;'Data Considered'!$B$13,OFFSET(Retailer!M56,-'Data Considered'!$B$13,0),0)</f>
        <v>2700</v>
      </c>
      <c r="O56" s="1">
        <f ca="1">E56*'Data Considered'!$B$8</f>
        <v>2660</v>
      </c>
      <c r="P56" s="1">
        <f ca="1">IF(A56&gt;'Data Considered'!$B$14,OFFSET(Retailer!O56,-'Data Considered'!$B$14,0),0)</f>
        <v>0</v>
      </c>
      <c r="Q56" s="1">
        <f t="shared" ca="1" si="7"/>
        <v>2490</v>
      </c>
      <c r="R56" s="1">
        <f ca="1">IF(A56=1,'Data Considered'!$B$16,Retailer!R55+Retailer!Q56)</f>
        <v>39380</v>
      </c>
      <c r="S56" s="1">
        <f ca="1">J56*'Data Considered'!$D$7</f>
        <v>150</v>
      </c>
      <c r="T56" s="1">
        <f ca="1">L56*'Data Considered'!$B$20</f>
        <v>60</v>
      </c>
      <c r="U56" s="1">
        <f ca="1">K56*'Data Considered'!$B$24</f>
        <v>0</v>
      </c>
      <c r="V56" s="1">
        <f t="shared" ca="1" si="8"/>
        <v>1</v>
      </c>
      <c r="W56" s="1">
        <f ca="1">V56+'Data Considered'!$B$13-'Data Considered'!$B$14</f>
        <v>-1</v>
      </c>
      <c r="X56" s="1">
        <f t="shared" ca="1" si="9"/>
        <v>150</v>
      </c>
      <c r="Y56" s="1">
        <f t="shared" ca="1" si="10"/>
        <v>2700</v>
      </c>
    </row>
    <row r="57" spans="1:25" x14ac:dyDescent="0.3">
      <c r="A57" s="1">
        <f t="shared" si="11"/>
        <v>56</v>
      </c>
      <c r="B57" s="1">
        <f>Demand!B57</f>
        <v>19</v>
      </c>
      <c r="C57" s="1">
        <f t="shared" si="14"/>
        <v>20</v>
      </c>
      <c r="D57" s="1">
        <f t="shared" si="15"/>
        <v>60</v>
      </c>
      <c r="E57" s="1">
        <f ca="1">Distributor!J56</f>
        <v>22</v>
      </c>
      <c r="F57" s="1">
        <f ca="1">IF(A57=1,'Data Considered'!$B$5,Retailer!L56+Retailer!E57)</f>
        <v>26</v>
      </c>
      <c r="G57" s="1">
        <f t="shared" ca="1" si="17"/>
        <v>54</v>
      </c>
      <c r="H57" s="1">
        <f t="shared" ca="1" si="18"/>
        <v>6</v>
      </c>
      <c r="I57" s="1">
        <f t="shared" ca="1" si="5"/>
        <v>26</v>
      </c>
      <c r="J57" s="1">
        <f t="shared" ca="1" si="19"/>
        <v>19</v>
      </c>
      <c r="K57" s="1">
        <f t="shared" ca="1" si="12"/>
        <v>0</v>
      </c>
      <c r="L57" s="1">
        <f t="shared" ca="1" si="16"/>
        <v>7</v>
      </c>
      <c r="M57" s="1">
        <f ca="1">J57*'Data Considered'!$B$7</f>
        <v>3420</v>
      </c>
      <c r="N57" s="1">
        <f ca="1">IF(A57&gt;'Data Considered'!$B$13,OFFSET(Retailer!M57,-'Data Considered'!$B$13,0),0)</f>
        <v>3420</v>
      </c>
      <c r="O57" s="1">
        <f ca="1">E57*'Data Considered'!$B$8</f>
        <v>3080</v>
      </c>
      <c r="P57" s="1">
        <f ca="1">IF(A57&gt;'Data Considered'!$B$14,OFFSET(Retailer!O57,-'Data Considered'!$B$14,0),0)</f>
        <v>2240</v>
      </c>
      <c r="Q57" s="1">
        <f t="shared" ca="1" si="7"/>
        <v>885</v>
      </c>
      <c r="R57" s="1">
        <f ca="1">IF(A57=1,'Data Considered'!$B$16,Retailer!R56+Retailer!Q57)</f>
        <v>40265</v>
      </c>
      <c r="S57" s="1">
        <f ca="1">J57*'Data Considered'!$D$7</f>
        <v>190</v>
      </c>
      <c r="T57" s="1">
        <f ca="1">L57*'Data Considered'!$B$20</f>
        <v>105</v>
      </c>
      <c r="U57" s="1">
        <f ca="1">K57*'Data Considered'!$B$24</f>
        <v>0</v>
      </c>
      <c r="V57" s="1">
        <f t="shared" ca="1" si="8"/>
        <v>1</v>
      </c>
      <c r="W57" s="1">
        <f ca="1">V57+'Data Considered'!$B$13-'Data Considered'!$B$14</f>
        <v>-1</v>
      </c>
      <c r="X57" s="1">
        <f t="shared" ca="1" si="9"/>
        <v>2430</v>
      </c>
      <c r="Y57" s="1">
        <f t="shared" ca="1" si="10"/>
        <v>3420</v>
      </c>
    </row>
    <row r="58" spans="1:25" x14ac:dyDescent="0.3">
      <c r="A58" s="1">
        <f t="shared" si="11"/>
        <v>57</v>
      </c>
      <c r="B58" s="1">
        <f>Demand!B58</f>
        <v>14</v>
      </c>
      <c r="C58" s="1">
        <f t="shared" si="14"/>
        <v>17</v>
      </c>
      <c r="D58" s="1">
        <f t="shared" si="15"/>
        <v>51</v>
      </c>
      <c r="E58" s="1">
        <f ca="1">Distributor!J57</f>
        <v>28</v>
      </c>
      <c r="F58" s="1">
        <f ca="1">IF(A58=1,'Data Considered'!$B$5,Retailer!L57+Retailer!E58)</f>
        <v>35</v>
      </c>
      <c r="G58" s="1">
        <f t="shared" ca="1" si="17"/>
        <v>41</v>
      </c>
      <c r="H58" s="1">
        <f t="shared" ca="1" si="18"/>
        <v>10</v>
      </c>
      <c r="I58" s="1">
        <f t="shared" ca="1" si="5"/>
        <v>35</v>
      </c>
      <c r="J58" s="1">
        <f t="shared" ca="1" si="19"/>
        <v>14</v>
      </c>
      <c r="K58" s="1">
        <f t="shared" ca="1" si="12"/>
        <v>0</v>
      </c>
      <c r="L58" s="1">
        <f t="shared" ca="1" si="16"/>
        <v>21</v>
      </c>
      <c r="M58" s="1">
        <f ca="1">J58*'Data Considered'!$B$7</f>
        <v>2520</v>
      </c>
      <c r="N58" s="1">
        <f ca="1">IF(A58&gt;'Data Considered'!$B$13,OFFSET(Retailer!M58,-'Data Considered'!$B$13,0),0)</f>
        <v>2520</v>
      </c>
      <c r="O58" s="1">
        <f ca="1">E58*'Data Considered'!$B$8</f>
        <v>3920</v>
      </c>
      <c r="P58" s="1">
        <f ca="1">IF(A58&gt;'Data Considered'!$B$14,OFFSET(Retailer!O58,-'Data Considered'!$B$14,0),0)</f>
        <v>2660</v>
      </c>
      <c r="Q58" s="1">
        <f t="shared" ca="1" si="7"/>
        <v>-595</v>
      </c>
      <c r="R58" s="1">
        <f ca="1">IF(A58=1,'Data Considered'!$B$16,Retailer!R57+Retailer!Q58)</f>
        <v>39670</v>
      </c>
      <c r="S58" s="1">
        <f ca="1">J58*'Data Considered'!$D$7</f>
        <v>140</v>
      </c>
      <c r="T58" s="1">
        <f ca="1">L58*'Data Considered'!$B$20</f>
        <v>315</v>
      </c>
      <c r="U58" s="1">
        <f ca="1">K58*'Data Considered'!$B$24</f>
        <v>0</v>
      </c>
      <c r="V58" s="1">
        <f t="shared" ca="1" si="8"/>
        <v>2</v>
      </c>
      <c r="W58" s="1">
        <f ca="1">V58+'Data Considered'!$B$13-'Data Considered'!$B$14</f>
        <v>0</v>
      </c>
      <c r="X58" s="1">
        <f t="shared" ca="1" si="9"/>
        <v>2800</v>
      </c>
      <c r="Y58" s="1">
        <f t="shared" ca="1" si="10"/>
        <v>2520</v>
      </c>
    </row>
    <row r="59" spans="1:25" x14ac:dyDescent="0.3">
      <c r="A59" s="1">
        <f t="shared" si="11"/>
        <v>58</v>
      </c>
      <c r="B59" s="1">
        <f>Demand!B59</f>
        <v>23</v>
      </c>
      <c r="C59" s="1">
        <f t="shared" si="14"/>
        <v>17</v>
      </c>
      <c r="D59" s="1">
        <f t="shared" si="15"/>
        <v>51</v>
      </c>
      <c r="E59" s="1">
        <f ca="1">Distributor!J58</f>
        <v>4</v>
      </c>
      <c r="F59" s="1">
        <f ca="1">IF(A59=1,'Data Considered'!$B$5,Retailer!L58+Retailer!E59)</f>
        <v>25</v>
      </c>
      <c r="G59" s="1">
        <f t="shared" ca="1" si="17"/>
        <v>35</v>
      </c>
      <c r="H59" s="1">
        <f t="shared" ca="1" si="18"/>
        <v>16</v>
      </c>
      <c r="I59" s="1">
        <f t="shared" ca="1" si="5"/>
        <v>25</v>
      </c>
      <c r="J59" s="1">
        <f t="shared" ca="1" si="19"/>
        <v>23</v>
      </c>
      <c r="K59" s="1">
        <f t="shared" ca="1" si="12"/>
        <v>0</v>
      </c>
      <c r="L59" s="1">
        <f t="shared" ca="1" si="16"/>
        <v>2</v>
      </c>
      <c r="M59" s="1">
        <f ca="1">J59*'Data Considered'!$B$7</f>
        <v>4140</v>
      </c>
      <c r="N59" s="1">
        <f ca="1">IF(A59&gt;'Data Considered'!$B$13,OFFSET(Retailer!M59,-'Data Considered'!$B$13,0),0)</f>
        <v>4140</v>
      </c>
      <c r="O59" s="1">
        <f ca="1">E59*'Data Considered'!$B$8</f>
        <v>560</v>
      </c>
      <c r="P59" s="1">
        <f ca="1">IF(A59&gt;'Data Considered'!$B$14,OFFSET(Retailer!O59,-'Data Considered'!$B$14,0),0)</f>
        <v>3080</v>
      </c>
      <c r="Q59" s="1">
        <f t="shared" ca="1" si="7"/>
        <v>800</v>
      </c>
      <c r="R59" s="1">
        <f ca="1">IF(A59=1,'Data Considered'!$B$16,Retailer!R58+Retailer!Q59)</f>
        <v>40470</v>
      </c>
      <c r="S59" s="1">
        <f ca="1">J59*'Data Considered'!$D$7</f>
        <v>230</v>
      </c>
      <c r="T59" s="1">
        <f ca="1">L59*'Data Considered'!$B$20</f>
        <v>30</v>
      </c>
      <c r="U59" s="1">
        <f ca="1">K59*'Data Considered'!$B$24</f>
        <v>0</v>
      </c>
      <c r="V59" s="1">
        <f t="shared" ca="1" si="8"/>
        <v>1</v>
      </c>
      <c r="W59" s="1">
        <f ca="1">V59+'Data Considered'!$B$13-'Data Considered'!$B$14</f>
        <v>-1</v>
      </c>
      <c r="X59" s="1">
        <f t="shared" ca="1" si="9"/>
        <v>3310</v>
      </c>
      <c r="Y59" s="1">
        <f t="shared" ca="1" si="10"/>
        <v>4140</v>
      </c>
    </row>
    <row r="60" spans="1:25" x14ac:dyDescent="0.3">
      <c r="A60" s="1">
        <f t="shared" si="11"/>
        <v>59</v>
      </c>
      <c r="B60" s="1">
        <f>Demand!B60</f>
        <v>19</v>
      </c>
      <c r="C60" s="1">
        <f t="shared" si="14"/>
        <v>19</v>
      </c>
      <c r="D60" s="1">
        <f t="shared" si="15"/>
        <v>57</v>
      </c>
      <c r="E60" s="1">
        <f ca="1">Distributor!J59</f>
        <v>10</v>
      </c>
      <c r="F60" s="1">
        <f ca="1">IF(A60=1,'Data Considered'!$B$5,Retailer!L59+Retailer!E60)</f>
        <v>12</v>
      </c>
      <c r="G60" s="1">
        <f t="shared" ca="1" si="17"/>
        <v>28</v>
      </c>
      <c r="H60" s="1">
        <f t="shared" ca="1" si="18"/>
        <v>29</v>
      </c>
      <c r="I60" s="1">
        <f t="shared" ca="1" si="5"/>
        <v>12</v>
      </c>
      <c r="J60" s="1">
        <f t="shared" ca="1" si="19"/>
        <v>12</v>
      </c>
      <c r="K60" s="1">
        <f t="shared" ca="1" si="12"/>
        <v>7</v>
      </c>
      <c r="L60" s="1">
        <f t="shared" ca="1" si="16"/>
        <v>0</v>
      </c>
      <c r="M60" s="1">
        <f ca="1">J60*'Data Considered'!$B$7</f>
        <v>2160</v>
      </c>
      <c r="N60" s="1">
        <f ca="1">IF(A60&gt;'Data Considered'!$B$13,OFFSET(Retailer!M60,-'Data Considered'!$B$13,0),0)</f>
        <v>2160</v>
      </c>
      <c r="O60" s="1">
        <f ca="1">E60*'Data Considered'!$B$8</f>
        <v>1400</v>
      </c>
      <c r="P60" s="1">
        <f ca="1">IF(A60&gt;'Data Considered'!$B$14,OFFSET(Retailer!O60,-'Data Considered'!$B$14,0),0)</f>
        <v>3920</v>
      </c>
      <c r="Q60" s="1">
        <f t="shared" ca="1" si="7"/>
        <v>-1880</v>
      </c>
      <c r="R60" s="1">
        <f ca="1">IF(A60=1,'Data Considered'!$B$16,Retailer!R59+Retailer!Q60)</f>
        <v>38590</v>
      </c>
      <c r="S60" s="1">
        <f ca="1">J60*'Data Considered'!$D$7</f>
        <v>120</v>
      </c>
      <c r="T60" s="1">
        <f ca="1">L60*'Data Considered'!$B$20</f>
        <v>0</v>
      </c>
      <c r="U60" s="1">
        <f ca="1">K60*'Data Considered'!$B$24</f>
        <v>280</v>
      </c>
      <c r="V60" s="1">
        <f t="shared" ca="1" si="8"/>
        <v>0</v>
      </c>
      <c r="W60" s="1">
        <f ca="1">V60+'Data Considered'!$B$13-'Data Considered'!$B$14</f>
        <v>-2</v>
      </c>
      <c r="X60" s="1">
        <f t="shared" ca="1" si="9"/>
        <v>4040</v>
      </c>
      <c r="Y60" s="1">
        <f t="shared" ca="1" si="10"/>
        <v>2160</v>
      </c>
    </row>
    <row r="61" spans="1:25" x14ac:dyDescent="0.3">
      <c r="A61" s="1">
        <f t="shared" si="11"/>
        <v>60</v>
      </c>
      <c r="B61" s="1">
        <f>Demand!B61</f>
        <v>19</v>
      </c>
      <c r="C61" s="1">
        <f t="shared" si="14"/>
        <v>21</v>
      </c>
      <c r="D61" s="1">
        <f t="shared" si="15"/>
        <v>63</v>
      </c>
      <c r="E61" s="1">
        <f ca="1">Distributor!J60</f>
        <v>16</v>
      </c>
      <c r="F61" s="1">
        <f ca="1">IF(A61=1,'Data Considered'!$B$5,Retailer!L60+Retailer!E61)</f>
        <v>16</v>
      </c>
      <c r="G61" s="1">
        <f t="shared" ca="1" si="17"/>
        <v>45</v>
      </c>
      <c r="H61" s="1">
        <f t="shared" ca="1" si="18"/>
        <v>18</v>
      </c>
      <c r="I61" s="1">
        <f t="shared" ca="1" si="5"/>
        <v>16</v>
      </c>
      <c r="J61" s="1">
        <f t="shared" ca="1" si="19"/>
        <v>16</v>
      </c>
      <c r="K61" s="1">
        <f t="shared" ca="1" si="12"/>
        <v>3</v>
      </c>
      <c r="L61" s="1">
        <f t="shared" ca="1" si="16"/>
        <v>0</v>
      </c>
      <c r="M61" s="1">
        <f ca="1">J61*'Data Considered'!$B$7</f>
        <v>2880</v>
      </c>
      <c r="N61" s="1">
        <f ca="1">IF(A61&gt;'Data Considered'!$B$13,OFFSET(Retailer!M61,-'Data Considered'!$B$13,0),0)</f>
        <v>2880</v>
      </c>
      <c r="O61" s="1">
        <f ca="1">E61*'Data Considered'!$B$8</f>
        <v>2240</v>
      </c>
      <c r="P61" s="1">
        <f ca="1">IF(A61&gt;'Data Considered'!$B$14,OFFSET(Retailer!O61,-'Data Considered'!$B$14,0),0)</f>
        <v>560</v>
      </c>
      <c r="Q61" s="1">
        <f t="shared" ca="1" si="7"/>
        <v>2160</v>
      </c>
      <c r="R61" s="1">
        <f ca="1">IF(A61=1,'Data Considered'!$B$16,Retailer!R60+Retailer!Q61)</f>
        <v>40750</v>
      </c>
      <c r="S61" s="1">
        <f ca="1">J61*'Data Considered'!$D$7</f>
        <v>160</v>
      </c>
      <c r="T61" s="1">
        <f ca="1">L61*'Data Considered'!$B$20</f>
        <v>0</v>
      </c>
      <c r="U61" s="1">
        <f ca="1">K61*'Data Considered'!$B$24</f>
        <v>120</v>
      </c>
      <c r="V61" s="1">
        <f t="shared" ca="1" si="8"/>
        <v>0</v>
      </c>
      <c r="W61" s="1">
        <f ca="1">V61+'Data Considered'!$B$13-'Data Considered'!$B$14</f>
        <v>-2</v>
      </c>
      <c r="X61" s="1">
        <f t="shared" ca="1" si="9"/>
        <v>720</v>
      </c>
      <c r="Y61" s="1">
        <f t="shared" ca="1" si="10"/>
        <v>2880</v>
      </c>
    </row>
    <row r="62" spans="1:25" x14ac:dyDescent="0.3">
      <c r="A62" s="1">
        <f t="shared" si="11"/>
        <v>61</v>
      </c>
      <c r="B62" s="1">
        <f>Demand!B62</f>
        <v>31</v>
      </c>
      <c r="C62" s="1">
        <f t="shared" si="14"/>
        <v>19</v>
      </c>
      <c r="D62" s="1">
        <f t="shared" si="15"/>
        <v>57</v>
      </c>
      <c r="E62" s="1">
        <f ca="1">Distributor!J61</f>
        <v>29</v>
      </c>
      <c r="F62" s="1">
        <f ca="1">IF(A62=1,'Data Considered'!$B$5,Retailer!L61+Retailer!E62)</f>
        <v>29</v>
      </c>
      <c r="G62" s="1">
        <f t="shared" ca="1" si="17"/>
        <v>47</v>
      </c>
      <c r="H62" s="1">
        <f t="shared" ca="1" si="18"/>
        <v>10</v>
      </c>
      <c r="I62" s="1">
        <f t="shared" ca="1" si="5"/>
        <v>29</v>
      </c>
      <c r="J62" s="1">
        <f t="shared" ca="1" si="19"/>
        <v>29</v>
      </c>
      <c r="K62" s="1">
        <f t="shared" ca="1" si="12"/>
        <v>2</v>
      </c>
      <c r="L62" s="1">
        <f t="shared" ca="1" si="16"/>
        <v>0</v>
      </c>
      <c r="M62" s="1">
        <f ca="1">J62*'Data Considered'!$B$7</f>
        <v>5220</v>
      </c>
      <c r="N62" s="1">
        <f ca="1">IF(A62&gt;'Data Considered'!$B$13,OFFSET(Retailer!M62,-'Data Considered'!$B$13,0),0)</f>
        <v>5220</v>
      </c>
      <c r="O62" s="1">
        <f ca="1">E62*'Data Considered'!$B$8</f>
        <v>4060</v>
      </c>
      <c r="P62" s="1">
        <f ca="1">IF(A62&gt;'Data Considered'!$B$14,OFFSET(Retailer!O62,-'Data Considered'!$B$14,0),0)</f>
        <v>1400</v>
      </c>
      <c r="Q62" s="1">
        <f t="shared" ca="1" si="7"/>
        <v>3530</v>
      </c>
      <c r="R62" s="1">
        <f ca="1">IF(A62=1,'Data Considered'!$B$16,Retailer!R61+Retailer!Q62)</f>
        <v>44280</v>
      </c>
      <c r="S62" s="1">
        <f ca="1">J62*'Data Considered'!$D$7</f>
        <v>290</v>
      </c>
      <c r="T62" s="1">
        <f ca="1">L62*'Data Considered'!$B$20</f>
        <v>0</v>
      </c>
      <c r="U62" s="1">
        <f ca="1">K62*'Data Considered'!$B$24</f>
        <v>80</v>
      </c>
      <c r="V62" s="1">
        <f t="shared" ca="1" si="8"/>
        <v>0</v>
      </c>
      <c r="W62" s="1">
        <f ca="1">V62+'Data Considered'!$B$13-'Data Considered'!$B$14</f>
        <v>-2</v>
      </c>
      <c r="X62" s="1">
        <f t="shared" ca="1" si="9"/>
        <v>1690</v>
      </c>
      <c r="Y62" s="1">
        <f t="shared" ca="1" si="10"/>
        <v>5220</v>
      </c>
    </row>
    <row r="63" spans="1:25" x14ac:dyDescent="0.3">
      <c r="A63" s="1">
        <f t="shared" si="11"/>
        <v>62</v>
      </c>
      <c r="B63" s="1">
        <f>Demand!B63</f>
        <v>13</v>
      </c>
      <c r="C63" s="1">
        <f t="shared" si="14"/>
        <v>25</v>
      </c>
      <c r="D63" s="1">
        <f t="shared" si="15"/>
        <v>75</v>
      </c>
      <c r="E63" s="1">
        <f ca="1">Distributor!J62</f>
        <v>16</v>
      </c>
      <c r="F63" s="1">
        <f ca="1">IF(A63=1,'Data Considered'!$B$5,Retailer!L62+Retailer!E63)</f>
        <v>16</v>
      </c>
      <c r="G63" s="1">
        <f t="shared" ca="1" si="17"/>
        <v>26</v>
      </c>
      <c r="H63" s="1">
        <f t="shared" ca="1" si="18"/>
        <v>49</v>
      </c>
      <c r="I63" s="1">
        <f t="shared" ca="1" si="5"/>
        <v>16</v>
      </c>
      <c r="J63" s="1">
        <f t="shared" ca="1" si="19"/>
        <v>13</v>
      </c>
      <c r="K63" s="1">
        <f t="shared" ca="1" si="12"/>
        <v>0</v>
      </c>
      <c r="L63" s="1">
        <f t="shared" ca="1" si="16"/>
        <v>3</v>
      </c>
      <c r="M63" s="1">
        <f ca="1">J63*'Data Considered'!$B$7</f>
        <v>2340</v>
      </c>
      <c r="N63" s="1">
        <f ca="1">IF(A63&gt;'Data Considered'!$B$13,OFFSET(Retailer!M63,-'Data Considered'!$B$13,0),0)</f>
        <v>2340</v>
      </c>
      <c r="O63" s="1">
        <f ca="1">E63*'Data Considered'!$B$8</f>
        <v>2240</v>
      </c>
      <c r="P63" s="1">
        <f ca="1">IF(A63&gt;'Data Considered'!$B$14,OFFSET(Retailer!O63,-'Data Considered'!$B$14,0),0)</f>
        <v>2240</v>
      </c>
      <c r="Q63" s="1">
        <f t="shared" ca="1" si="7"/>
        <v>-75</v>
      </c>
      <c r="R63" s="1">
        <f ca="1">IF(A63=1,'Data Considered'!$B$16,Retailer!R62+Retailer!Q63)</f>
        <v>44205</v>
      </c>
      <c r="S63" s="1">
        <f ca="1">J63*'Data Considered'!$D$7</f>
        <v>130</v>
      </c>
      <c r="T63" s="1">
        <f ca="1">L63*'Data Considered'!$B$20</f>
        <v>45</v>
      </c>
      <c r="U63" s="1">
        <f ca="1">K63*'Data Considered'!$B$24</f>
        <v>0</v>
      </c>
      <c r="V63" s="1">
        <f t="shared" ca="1" si="8"/>
        <v>1</v>
      </c>
      <c r="W63" s="1">
        <f ca="1">V63+'Data Considered'!$B$13-'Data Considered'!$B$14</f>
        <v>-1</v>
      </c>
      <c r="X63" s="1">
        <f t="shared" ca="1" si="9"/>
        <v>2370</v>
      </c>
      <c r="Y63" s="1">
        <f t="shared" ca="1" si="10"/>
        <v>2340</v>
      </c>
    </row>
    <row r="64" spans="1:25" x14ac:dyDescent="0.3">
      <c r="A64" s="1">
        <f t="shared" si="11"/>
        <v>63</v>
      </c>
      <c r="B64" s="1">
        <f>Demand!B64</f>
        <v>21</v>
      </c>
      <c r="C64" s="1">
        <f t="shared" si="14"/>
        <v>22</v>
      </c>
      <c r="D64" s="1">
        <f t="shared" si="15"/>
        <v>66</v>
      </c>
      <c r="E64" s="1">
        <f ca="1">Distributor!J63</f>
        <v>0</v>
      </c>
      <c r="F64" s="1">
        <f ca="1">IF(A64=1,'Data Considered'!$B$5,Retailer!L63+Retailer!E64)</f>
        <v>3</v>
      </c>
      <c r="G64" s="1">
        <f t="shared" ca="1" si="17"/>
        <v>52</v>
      </c>
      <c r="H64" s="1">
        <f t="shared" ca="1" si="18"/>
        <v>14</v>
      </c>
      <c r="I64" s="1">
        <f t="shared" ca="1" si="5"/>
        <v>3</v>
      </c>
      <c r="J64" s="1">
        <f t="shared" ca="1" si="19"/>
        <v>3</v>
      </c>
      <c r="K64" s="1">
        <f t="shared" ca="1" si="12"/>
        <v>18</v>
      </c>
      <c r="L64" s="1">
        <f t="shared" ca="1" si="16"/>
        <v>0</v>
      </c>
      <c r="M64" s="1">
        <f ca="1">J64*'Data Considered'!$B$7</f>
        <v>540</v>
      </c>
      <c r="N64" s="1">
        <f ca="1">IF(A64&gt;'Data Considered'!$B$13,OFFSET(Retailer!M64,-'Data Considered'!$B$13,0),0)</f>
        <v>540</v>
      </c>
      <c r="O64" s="1">
        <f ca="1">E64*'Data Considered'!$B$8</f>
        <v>0</v>
      </c>
      <c r="P64" s="1">
        <f ca="1">IF(A64&gt;'Data Considered'!$B$14,OFFSET(Retailer!O64,-'Data Considered'!$B$14,0),0)</f>
        <v>4060</v>
      </c>
      <c r="Q64" s="1">
        <f t="shared" ca="1" si="7"/>
        <v>-3550</v>
      </c>
      <c r="R64" s="1">
        <f ca="1">IF(A64=1,'Data Considered'!$B$16,Retailer!R63+Retailer!Q64)</f>
        <v>40655</v>
      </c>
      <c r="S64" s="1">
        <f ca="1">J64*'Data Considered'!$D$7</f>
        <v>30</v>
      </c>
      <c r="T64" s="1">
        <f ca="1">L64*'Data Considered'!$B$20</f>
        <v>0</v>
      </c>
      <c r="U64" s="1">
        <f ca="1">K64*'Data Considered'!$B$24</f>
        <v>720</v>
      </c>
      <c r="V64" s="1">
        <f t="shared" ca="1" si="8"/>
        <v>0</v>
      </c>
      <c r="W64" s="1">
        <f ca="1">V64+'Data Considered'!$B$13-'Data Considered'!$B$14</f>
        <v>-2</v>
      </c>
      <c r="X64" s="1">
        <f t="shared" ca="1" si="9"/>
        <v>4090</v>
      </c>
      <c r="Y64" s="1">
        <f t="shared" ca="1" si="10"/>
        <v>540</v>
      </c>
    </row>
    <row r="65" spans="1:25" x14ac:dyDescent="0.3">
      <c r="A65" s="1">
        <f t="shared" si="11"/>
        <v>64</v>
      </c>
      <c r="B65" s="1">
        <f>Demand!B65</f>
        <v>17</v>
      </c>
      <c r="C65" s="1">
        <f t="shared" si="14"/>
        <v>17</v>
      </c>
      <c r="D65" s="1">
        <f t="shared" si="15"/>
        <v>51</v>
      </c>
      <c r="E65" s="1">
        <f ca="1">Distributor!J64</f>
        <v>49</v>
      </c>
      <c r="F65" s="1">
        <f ca="1">IF(A65=1,'Data Considered'!$B$5,Retailer!L64+Retailer!E65)</f>
        <v>49</v>
      </c>
      <c r="G65" s="1">
        <f t="shared" ca="1" si="17"/>
        <v>63</v>
      </c>
      <c r="H65" s="1">
        <f t="shared" ca="1" si="18"/>
        <v>0</v>
      </c>
      <c r="I65" s="1">
        <f t="shared" ca="1" si="5"/>
        <v>49</v>
      </c>
      <c r="J65" s="1">
        <f t="shared" ca="1" si="19"/>
        <v>17</v>
      </c>
      <c r="K65" s="1">
        <f t="shared" ca="1" si="12"/>
        <v>0</v>
      </c>
      <c r="L65" s="1">
        <f t="shared" ca="1" si="16"/>
        <v>32</v>
      </c>
      <c r="M65" s="1">
        <f ca="1">J65*'Data Considered'!$B$7</f>
        <v>3060</v>
      </c>
      <c r="N65" s="1">
        <f ca="1">IF(A65&gt;'Data Considered'!$B$13,OFFSET(Retailer!M65,-'Data Considered'!$B$13,0),0)</f>
        <v>3060</v>
      </c>
      <c r="O65" s="1">
        <f ca="1">E65*'Data Considered'!$B$8</f>
        <v>6860</v>
      </c>
      <c r="P65" s="1">
        <f ca="1">IF(A65&gt;'Data Considered'!$B$14,OFFSET(Retailer!O65,-'Data Considered'!$B$14,0),0)</f>
        <v>2240</v>
      </c>
      <c r="Q65" s="1">
        <f t="shared" ca="1" si="7"/>
        <v>170</v>
      </c>
      <c r="R65" s="1">
        <f ca="1">IF(A65=1,'Data Considered'!$B$16,Retailer!R64+Retailer!Q65)</f>
        <v>40825</v>
      </c>
      <c r="S65" s="1">
        <f ca="1">J65*'Data Considered'!$D$7</f>
        <v>170</v>
      </c>
      <c r="T65" s="1">
        <f ca="1">L65*'Data Considered'!$B$20</f>
        <v>480</v>
      </c>
      <c r="U65" s="1">
        <f ca="1">K65*'Data Considered'!$B$24</f>
        <v>0</v>
      </c>
      <c r="V65" s="1">
        <f t="shared" ca="1" si="8"/>
        <v>2</v>
      </c>
      <c r="W65" s="1">
        <f ca="1">V65+'Data Considered'!$B$13-'Data Considered'!$B$14</f>
        <v>0</v>
      </c>
      <c r="X65" s="1">
        <f t="shared" ca="1" si="9"/>
        <v>2410</v>
      </c>
      <c r="Y65" s="1">
        <f t="shared" ca="1" si="10"/>
        <v>3060</v>
      </c>
    </row>
    <row r="66" spans="1:25" x14ac:dyDescent="0.3">
      <c r="A66" s="1">
        <f t="shared" si="11"/>
        <v>65</v>
      </c>
      <c r="B66" s="1">
        <f>Demand!B66</f>
        <v>20</v>
      </c>
      <c r="C66" s="1">
        <f t="shared" si="14"/>
        <v>19</v>
      </c>
      <c r="D66" s="1">
        <f t="shared" si="15"/>
        <v>57</v>
      </c>
      <c r="E66" s="1">
        <f ca="1">Distributor!J65</f>
        <v>14</v>
      </c>
      <c r="F66" s="1">
        <f ca="1">IF(A66=1,'Data Considered'!$B$5,Retailer!L65+Retailer!E66)</f>
        <v>46</v>
      </c>
      <c r="G66" s="1">
        <f t="shared" ref="G66:G97" ca="1" si="20">F66+IF(A66&gt;1,H65,0)</f>
        <v>46</v>
      </c>
      <c r="H66" s="1">
        <f t="shared" ref="H66:H97" ca="1" si="21">IF(D66&gt;G66,D66-G66,0)</f>
        <v>11</v>
      </c>
      <c r="I66" s="1">
        <f t="shared" ca="1" si="5"/>
        <v>46</v>
      </c>
      <c r="J66" s="1">
        <f t="shared" ref="J66:J97" ca="1" si="22">MIN(I66,B66)</f>
        <v>20</v>
      </c>
      <c r="K66" s="1">
        <f t="shared" ca="1" si="12"/>
        <v>0</v>
      </c>
      <c r="L66" s="1">
        <f t="shared" ca="1" si="16"/>
        <v>26</v>
      </c>
      <c r="M66" s="1">
        <f ca="1">J66*'Data Considered'!$B$7</f>
        <v>3600</v>
      </c>
      <c r="N66" s="1">
        <f ca="1">IF(A66&gt;'Data Considered'!$B$13,OFFSET(Retailer!M66,-'Data Considered'!$B$13,0),0)</f>
        <v>3600</v>
      </c>
      <c r="O66" s="1">
        <f ca="1">E66*'Data Considered'!$B$8</f>
        <v>1960</v>
      </c>
      <c r="P66" s="1">
        <f ca="1">IF(A66&gt;'Data Considered'!$B$14,OFFSET(Retailer!O66,-'Data Considered'!$B$14,0),0)</f>
        <v>0</v>
      </c>
      <c r="Q66" s="1">
        <f t="shared" ca="1" si="7"/>
        <v>3010</v>
      </c>
      <c r="R66" s="1">
        <f ca="1">IF(A66=1,'Data Considered'!$B$16,Retailer!R65+Retailer!Q66)</f>
        <v>43835</v>
      </c>
      <c r="S66" s="1">
        <f ca="1">J66*'Data Considered'!$D$7</f>
        <v>200</v>
      </c>
      <c r="T66" s="1">
        <f ca="1">L66*'Data Considered'!$B$20</f>
        <v>390</v>
      </c>
      <c r="U66" s="1">
        <f ca="1">K66*'Data Considered'!$B$24</f>
        <v>0</v>
      </c>
      <c r="V66" s="1">
        <f t="shared" ca="1" si="8"/>
        <v>2</v>
      </c>
      <c r="W66" s="1">
        <f ca="1">V66+'Data Considered'!$B$13-'Data Considered'!$B$14</f>
        <v>0</v>
      </c>
      <c r="X66" s="1">
        <f t="shared" ca="1" si="9"/>
        <v>200</v>
      </c>
      <c r="Y66" s="1">
        <f t="shared" ca="1" si="10"/>
        <v>3600</v>
      </c>
    </row>
    <row r="67" spans="1:25" x14ac:dyDescent="0.3">
      <c r="A67" s="1">
        <f t="shared" si="11"/>
        <v>66</v>
      </c>
      <c r="B67" s="1">
        <f>Demand!B67</f>
        <v>23</v>
      </c>
      <c r="C67" s="1">
        <f t="shared" si="14"/>
        <v>19</v>
      </c>
      <c r="D67" s="1">
        <f t="shared" si="15"/>
        <v>57</v>
      </c>
      <c r="E67" s="1">
        <f ca="1">Distributor!J66</f>
        <v>0</v>
      </c>
      <c r="F67" s="1">
        <f ca="1">IF(A67=1,'Data Considered'!$B$5,Retailer!L66+Retailer!E67)</f>
        <v>26</v>
      </c>
      <c r="G67" s="1">
        <f t="shared" ca="1" si="20"/>
        <v>37</v>
      </c>
      <c r="H67" s="1">
        <f t="shared" ca="1" si="21"/>
        <v>20</v>
      </c>
      <c r="I67" s="1">
        <f t="shared" ref="I67:I105" ca="1" si="23">F67</f>
        <v>26</v>
      </c>
      <c r="J67" s="1">
        <f t="shared" ca="1" si="22"/>
        <v>23</v>
      </c>
      <c r="K67" s="1">
        <f t="shared" ca="1" si="12"/>
        <v>0</v>
      </c>
      <c r="L67" s="1">
        <f t="shared" ca="1" si="16"/>
        <v>3</v>
      </c>
      <c r="M67" s="1">
        <f ca="1">J67*'Data Considered'!$B$7</f>
        <v>4140</v>
      </c>
      <c r="N67" s="1">
        <f ca="1">IF(A67&gt;'Data Considered'!$B$13,OFFSET(Retailer!M67,-'Data Considered'!$B$13,0),0)</f>
        <v>4140</v>
      </c>
      <c r="O67" s="1">
        <f ca="1">E67*'Data Considered'!$B$8</f>
        <v>0</v>
      </c>
      <c r="P67" s="1">
        <f ca="1">IF(A67&gt;'Data Considered'!$B$14,OFFSET(Retailer!O67,-'Data Considered'!$B$14,0),0)</f>
        <v>6860</v>
      </c>
      <c r="Q67" s="1">
        <f t="shared" ref="Q67:Q105" ca="1" si="24">N67-P67-T67-S67</f>
        <v>-2995</v>
      </c>
      <c r="R67" s="1">
        <f ca="1">IF(A67=1,'Data Considered'!$B$16,Retailer!R66+Retailer!Q67)</f>
        <v>40840</v>
      </c>
      <c r="S67" s="1">
        <f ca="1">J67*'Data Considered'!$D$7</f>
        <v>230</v>
      </c>
      <c r="T67" s="1">
        <f ca="1">L67*'Data Considered'!$B$20</f>
        <v>45</v>
      </c>
      <c r="U67" s="1">
        <f ca="1">K67*'Data Considered'!$B$24</f>
        <v>0</v>
      </c>
      <c r="V67" s="1">
        <f t="shared" ref="V67:V105" ca="1" si="25">ROUNDUP(L67/$B$108,0)</f>
        <v>1</v>
      </c>
      <c r="W67" s="1">
        <f ca="1">V67+'Data Considered'!$B$13-'Data Considered'!$B$14</f>
        <v>-1</v>
      </c>
      <c r="X67" s="1">
        <f t="shared" ref="X67:X105" ca="1" si="26">IF(A67&gt;2,OFFSET(O67,-2,0),0)+S67</f>
        <v>7090</v>
      </c>
      <c r="Y67" s="1">
        <f t="shared" ref="Y67:Y105" ca="1" si="27">M67</f>
        <v>4140</v>
      </c>
    </row>
    <row r="68" spans="1:25" x14ac:dyDescent="0.3">
      <c r="A68" s="1">
        <f t="shared" ref="A68:A105" si="28">A67+1</f>
        <v>67</v>
      </c>
      <c r="B68" s="1">
        <f>Demand!B68</f>
        <v>24</v>
      </c>
      <c r="C68" s="1">
        <f t="shared" si="14"/>
        <v>22</v>
      </c>
      <c r="D68" s="1">
        <f t="shared" si="15"/>
        <v>66</v>
      </c>
      <c r="E68" s="1">
        <f ca="1">Distributor!J67</f>
        <v>11</v>
      </c>
      <c r="F68" s="1">
        <f ca="1">IF(A68=1,'Data Considered'!$B$5,Retailer!L67+Retailer!E68)</f>
        <v>14</v>
      </c>
      <c r="G68" s="1">
        <f t="shared" ca="1" si="20"/>
        <v>34</v>
      </c>
      <c r="H68" s="1">
        <f t="shared" ca="1" si="21"/>
        <v>32</v>
      </c>
      <c r="I68" s="1">
        <f t="shared" ca="1" si="23"/>
        <v>14</v>
      </c>
      <c r="J68" s="1">
        <f t="shared" ca="1" si="22"/>
        <v>14</v>
      </c>
      <c r="K68" s="1">
        <f t="shared" ref="K68:K105" ca="1" si="29">B68-J68</f>
        <v>10</v>
      </c>
      <c r="L68" s="1">
        <f t="shared" ca="1" si="16"/>
        <v>0</v>
      </c>
      <c r="M68" s="1">
        <f ca="1">J68*'Data Considered'!$B$7</f>
        <v>2520</v>
      </c>
      <c r="N68" s="1">
        <f ca="1">IF(A68&gt;'Data Considered'!$B$13,OFFSET(Retailer!M68,-'Data Considered'!$B$13,0),0)</f>
        <v>2520</v>
      </c>
      <c r="O68" s="1">
        <f ca="1">E68*'Data Considered'!$B$8</f>
        <v>1540</v>
      </c>
      <c r="P68" s="1">
        <f ca="1">IF(A68&gt;'Data Considered'!$B$14,OFFSET(Retailer!O68,-'Data Considered'!$B$14,0),0)</f>
        <v>1960</v>
      </c>
      <c r="Q68" s="1">
        <f t="shared" ca="1" si="24"/>
        <v>420</v>
      </c>
      <c r="R68" s="1">
        <f ca="1">IF(A68=1,'Data Considered'!$B$16,Retailer!R67+Retailer!Q68)</f>
        <v>41260</v>
      </c>
      <c r="S68" s="1">
        <f ca="1">J68*'Data Considered'!$D$7</f>
        <v>140</v>
      </c>
      <c r="T68" s="1">
        <f ca="1">L68*'Data Considered'!$B$20</f>
        <v>0</v>
      </c>
      <c r="U68" s="1">
        <f ca="1">K68*'Data Considered'!$B$24</f>
        <v>400</v>
      </c>
      <c r="V68" s="1">
        <f t="shared" ca="1" si="25"/>
        <v>0</v>
      </c>
      <c r="W68" s="1">
        <f ca="1">V68+'Data Considered'!$B$13-'Data Considered'!$B$14</f>
        <v>-2</v>
      </c>
      <c r="X68" s="1">
        <f t="shared" ca="1" si="26"/>
        <v>2100</v>
      </c>
      <c r="Y68" s="1">
        <f t="shared" ca="1" si="27"/>
        <v>2520</v>
      </c>
    </row>
    <row r="69" spans="1:25" x14ac:dyDescent="0.3">
      <c r="A69" s="1">
        <f t="shared" si="28"/>
        <v>68</v>
      </c>
      <c r="B69" s="1">
        <f>Demand!B69</f>
        <v>17</v>
      </c>
      <c r="C69" s="1">
        <f t="shared" si="14"/>
        <v>24</v>
      </c>
      <c r="D69" s="1">
        <f t="shared" si="15"/>
        <v>72</v>
      </c>
      <c r="E69" s="1">
        <f ca="1">Distributor!J68</f>
        <v>20</v>
      </c>
      <c r="F69" s="1">
        <f ca="1">IF(A69=1,'Data Considered'!$B$5,Retailer!L68+Retailer!E69)</f>
        <v>20</v>
      </c>
      <c r="G69" s="1">
        <f t="shared" ca="1" si="20"/>
        <v>52</v>
      </c>
      <c r="H69" s="1">
        <f t="shared" ca="1" si="21"/>
        <v>20</v>
      </c>
      <c r="I69" s="1">
        <f t="shared" ca="1" si="23"/>
        <v>20</v>
      </c>
      <c r="J69" s="1">
        <f t="shared" ca="1" si="22"/>
        <v>17</v>
      </c>
      <c r="K69" s="1">
        <f t="shared" ca="1" si="29"/>
        <v>0</v>
      </c>
      <c r="L69" s="1">
        <f t="shared" ca="1" si="16"/>
        <v>3</v>
      </c>
      <c r="M69" s="1">
        <f ca="1">J69*'Data Considered'!$B$7</f>
        <v>3060</v>
      </c>
      <c r="N69" s="1">
        <f ca="1">IF(A69&gt;'Data Considered'!$B$13,OFFSET(Retailer!M69,-'Data Considered'!$B$13,0),0)</f>
        <v>3060</v>
      </c>
      <c r="O69" s="1">
        <f ca="1">E69*'Data Considered'!$B$8</f>
        <v>2800</v>
      </c>
      <c r="P69" s="1">
        <f ca="1">IF(A69&gt;'Data Considered'!$B$14,OFFSET(Retailer!O69,-'Data Considered'!$B$14,0),0)</f>
        <v>0</v>
      </c>
      <c r="Q69" s="1">
        <f t="shared" ca="1" si="24"/>
        <v>2845</v>
      </c>
      <c r="R69" s="1">
        <f ca="1">IF(A69=1,'Data Considered'!$B$16,Retailer!R68+Retailer!Q69)</f>
        <v>44105</v>
      </c>
      <c r="S69" s="1">
        <f ca="1">J69*'Data Considered'!$D$7</f>
        <v>170</v>
      </c>
      <c r="T69" s="1">
        <f ca="1">L69*'Data Considered'!$B$20</f>
        <v>45</v>
      </c>
      <c r="U69" s="1">
        <f ca="1">K69*'Data Considered'!$B$24</f>
        <v>0</v>
      </c>
      <c r="V69" s="1">
        <f t="shared" ca="1" si="25"/>
        <v>1</v>
      </c>
      <c r="W69" s="1">
        <f ca="1">V69+'Data Considered'!$B$13-'Data Considered'!$B$14</f>
        <v>-1</v>
      </c>
      <c r="X69" s="1">
        <f t="shared" ca="1" si="26"/>
        <v>170</v>
      </c>
      <c r="Y69" s="1">
        <f t="shared" ca="1" si="27"/>
        <v>3060</v>
      </c>
    </row>
    <row r="70" spans="1:25" x14ac:dyDescent="0.3">
      <c r="A70" s="1">
        <f t="shared" si="28"/>
        <v>69</v>
      </c>
      <c r="B70" s="1">
        <f>Demand!B70</f>
        <v>17</v>
      </c>
      <c r="C70" s="1">
        <f t="shared" si="14"/>
        <v>21</v>
      </c>
      <c r="D70" s="1">
        <f t="shared" si="15"/>
        <v>63</v>
      </c>
      <c r="E70" s="1">
        <f ca="1">Distributor!J69</f>
        <v>32</v>
      </c>
      <c r="F70" s="1">
        <f ca="1">IF(A70=1,'Data Considered'!$B$5,Retailer!L69+Retailer!E70)</f>
        <v>35</v>
      </c>
      <c r="G70" s="1">
        <f t="shared" ca="1" si="20"/>
        <v>55</v>
      </c>
      <c r="H70" s="1">
        <f t="shared" ca="1" si="21"/>
        <v>8</v>
      </c>
      <c r="I70" s="1">
        <f t="shared" ca="1" si="23"/>
        <v>35</v>
      </c>
      <c r="J70" s="1">
        <f t="shared" ca="1" si="22"/>
        <v>17</v>
      </c>
      <c r="K70" s="1">
        <f t="shared" ca="1" si="29"/>
        <v>0</v>
      </c>
      <c r="L70" s="1">
        <f t="shared" ca="1" si="16"/>
        <v>18</v>
      </c>
      <c r="M70" s="1">
        <f ca="1">J70*'Data Considered'!$B$7</f>
        <v>3060</v>
      </c>
      <c r="N70" s="1">
        <f ca="1">IF(A70&gt;'Data Considered'!$B$13,OFFSET(Retailer!M70,-'Data Considered'!$B$13,0),0)</f>
        <v>3060</v>
      </c>
      <c r="O70" s="1">
        <f ca="1">E70*'Data Considered'!$B$8</f>
        <v>4480</v>
      </c>
      <c r="P70" s="1">
        <f ca="1">IF(A70&gt;'Data Considered'!$B$14,OFFSET(Retailer!O70,-'Data Considered'!$B$14,0),0)</f>
        <v>1540</v>
      </c>
      <c r="Q70" s="1">
        <f t="shared" ca="1" si="24"/>
        <v>1080</v>
      </c>
      <c r="R70" s="1">
        <f ca="1">IF(A70=1,'Data Considered'!$B$16,Retailer!R69+Retailer!Q70)</f>
        <v>45185</v>
      </c>
      <c r="S70" s="1">
        <f ca="1">J70*'Data Considered'!$D$7</f>
        <v>170</v>
      </c>
      <c r="T70" s="1">
        <f ca="1">L70*'Data Considered'!$B$20</f>
        <v>270</v>
      </c>
      <c r="U70" s="1">
        <f ca="1">K70*'Data Considered'!$B$24</f>
        <v>0</v>
      </c>
      <c r="V70" s="1">
        <f t="shared" ca="1" si="25"/>
        <v>1</v>
      </c>
      <c r="W70" s="1">
        <f ca="1">V70+'Data Considered'!$B$13-'Data Considered'!$B$14</f>
        <v>-1</v>
      </c>
      <c r="X70" s="1">
        <f t="shared" ca="1" si="26"/>
        <v>1710</v>
      </c>
      <c r="Y70" s="1">
        <f t="shared" ca="1" si="27"/>
        <v>3060</v>
      </c>
    </row>
    <row r="71" spans="1:25" x14ac:dyDescent="0.3">
      <c r="A71" s="1">
        <f t="shared" si="28"/>
        <v>70</v>
      </c>
      <c r="B71" s="1">
        <f>Demand!B71</f>
        <v>19</v>
      </c>
      <c r="C71" s="1">
        <f t="shared" si="14"/>
        <v>17</v>
      </c>
      <c r="D71" s="1">
        <f t="shared" si="15"/>
        <v>51</v>
      </c>
      <c r="E71" s="1">
        <f ca="1">Distributor!J70</f>
        <v>20</v>
      </c>
      <c r="F71" s="1">
        <f ca="1">IF(A71=1,'Data Considered'!$B$5,Retailer!L70+Retailer!E71)</f>
        <v>38</v>
      </c>
      <c r="G71" s="1">
        <f t="shared" ca="1" si="20"/>
        <v>46</v>
      </c>
      <c r="H71" s="1">
        <f t="shared" ca="1" si="21"/>
        <v>5</v>
      </c>
      <c r="I71" s="1">
        <f t="shared" ca="1" si="23"/>
        <v>38</v>
      </c>
      <c r="J71" s="1">
        <f t="shared" ca="1" si="22"/>
        <v>19</v>
      </c>
      <c r="K71" s="1">
        <f t="shared" ca="1" si="29"/>
        <v>0</v>
      </c>
      <c r="L71" s="1">
        <f t="shared" ca="1" si="16"/>
        <v>19</v>
      </c>
      <c r="M71" s="1">
        <f ca="1">J71*'Data Considered'!$B$7</f>
        <v>3420</v>
      </c>
      <c r="N71" s="1">
        <f ca="1">IF(A71&gt;'Data Considered'!$B$13,OFFSET(Retailer!M71,-'Data Considered'!$B$13,0),0)</f>
        <v>3420</v>
      </c>
      <c r="O71" s="1">
        <f ca="1">E71*'Data Considered'!$B$8</f>
        <v>2800</v>
      </c>
      <c r="P71" s="1">
        <f ca="1">IF(A71&gt;'Data Considered'!$B$14,OFFSET(Retailer!O71,-'Data Considered'!$B$14,0),0)</f>
        <v>2800</v>
      </c>
      <c r="Q71" s="1">
        <f t="shared" ca="1" si="24"/>
        <v>145</v>
      </c>
      <c r="R71" s="1">
        <f ca="1">IF(A71=1,'Data Considered'!$B$16,Retailer!R70+Retailer!Q71)</f>
        <v>45330</v>
      </c>
      <c r="S71" s="1">
        <f ca="1">J71*'Data Considered'!$D$7</f>
        <v>190</v>
      </c>
      <c r="T71" s="1">
        <f ca="1">L71*'Data Considered'!$B$20</f>
        <v>285</v>
      </c>
      <c r="U71" s="1">
        <f ca="1">K71*'Data Considered'!$B$24</f>
        <v>0</v>
      </c>
      <c r="V71" s="1">
        <f t="shared" ca="1" si="25"/>
        <v>1</v>
      </c>
      <c r="W71" s="1">
        <f ca="1">V71+'Data Considered'!$B$13-'Data Considered'!$B$14</f>
        <v>-1</v>
      </c>
      <c r="X71" s="1">
        <f t="shared" ca="1" si="26"/>
        <v>2990</v>
      </c>
      <c r="Y71" s="1">
        <f t="shared" ca="1" si="27"/>
        <v>3420</v>
      </c>
    </row>
    <row r="72" spans="1:25" x14ac:dyDescent="0.3">
      <c r="A72" s="1">
        <f t="shared" si="28"/>
        <v>71</v>
      </c>
      <c r="B72" s="1">
        <f>Demand!B72</f>
        <v>21</v>
      </c>
      <c r="C72" s="1">
        <f t="shared" si="14"/>
        <v>18</v>
      </c>
      <c r="D72" s="1">
        <f t="shared" si="15"/>
        <v>54</v>
      </c>
      <c r="E72" s="1">
        <f ca="1">Distributor!J71</f>
        <v>8</v>
      </c>
      <c r="F72" s="1">
        <f ca="1">IF(A72=1,'Data Considered'!$B$5,Retailer!L71+Retailer!E72)</f>
        <v>27</v>
      </c>
      <c r="G72" s="1">
        <f t="shared" ca="1" si="20"/>
        <v>32</v>
      </c>
      <c r="H72" s="1">
        <f t="shared" ca="1" si="21"/>
        <v>22</v>
      </c>
      <c r="I72" s="1">
        <f t="shared" ca="1" si="23"/>
        <v>27</v>
      </c>
      <c r="J72" s="1">
        <f t="shared" ca="1" si="22"/>
        <v>21</v>
      </c>
      <c r="K72" s="1">
        <f t="shared" ca="1" si="29"/>
        <v>0</v>
      </c>
      <c r="L72" s="1">
        <f t="shared" ca="1" si="16"/>
        <v>6</v>
      </c>
      <c r="M72" s="1">
        <f ca="1">J72*'Data Considered'!$B$7</f>
        <v>3780</v>
      </c>
      <c r="N72" s="1">
        <f ca="1">IF(A72&gt;'Data Considered'!$B$13,OFFSET(Retailer!M72,-'Data Considered'!$B$13,0),0)</f>
        <v>3780</v>
      </c>
      <c r="O72" s="1">
        <f ca="1">E72*'Data Considered'!$B$8</f>
        <v>1120</v>
      </c>
      <c r="P72" s="1">
        <f ca="1">IF(A72&gt;'Data Considered'!$B$14,OFFSET(Retailer!O72,-'Data Considered'!$B$14,0),0)</f>
        <v>4480</v>
      </c>
      <c r="Q72" s="1">
        <f t="shared" ca="1" si="24"/>
        <v>-1000</v>
      </c>
      <c r="R72" s="1">
        <f ca="1">IF(A72=1,'Data Considered'!$B$16,Retailer!R71+Retailer!Q72)</f>
        <v>44330</v>
      </c>
      <c r="S72" s="1">
        <f ca="1">J72*'Data Considered'!$D$7</f>
        <v>210</v>
      </c>
      <c r="T72" s="1">
        <f ca="1">L72*'Data Considered'!$B$20</f>
        <v>90</v>
      </c>
      <c r="U72" s="1">
        <f ca="1">K72*'Data Considered'!$B$24</f>
        <v>0</v>
      </c>
      <c r="V72" s="1">
        <f t="shared" ca="1" si="25"/>
        <v>1</v>
      </c>
      <c r="W72" s="1">
        <f ca="1">V72+'Data Considered'!$B$13-'Data Considered'!$B$14</f>
        <v>-1</v>
      </c>
      <c r="X72" s="1">
        <f t="shared" ca="1" si="26"/>
        <v>4690</v>
      </c>
      <c r="Y72" s="1">
        <f t="shared" ca="1" si="27"/>
        <v>3780</v>
      </c>
    </row>
    <row r="73" spans="1:25" x14ac:dyDescent="0.3">
      <c r="A73" s="1">
        <f t="shared" si="28"/>
        <v>72</v>
      </c>
      <c r="B73" s="1">
        <f>Demand!B73</f>
        <v>29</v>
      </c>
      <c r="C73" s="1">
        <f t="shared" si="14"/>
        <v>20</v>
      </c>
      <c r="D73" s="1">
        <f t="shared" si="15"/>
        <v>60</v>
      </c>
      <c r="E73" s="1">
        <f ca="1">Distributor!J72</f>
        <v>5</v>
      </c>
      <c r="F73" s="1">
        <f ca="1">IF(A73=1,'Data Considered'!$B$5,Retailer!L72+Retailer!E73)</f>
        <v>11</v>
      </c>
      <c r="G73" s="1">
        <f t="shared" ca="1" si="20"/>
        <v>33</v>
      </c>
      <c r="H73" s="1">
        <f t="shared" ca="1" si="21"/>
        <v>27</v>
      </c>
      <c r="I73" s="1">
        <f t="shared" ca="1" si="23"/>
        <v>11</v>
      </c>
      <c r="J73" s="1">
        <f t="shared" ca="1" si="22"/>
        <v>11</v>
      </c>
      <c r="K73" s="1">
        <f t="shared" ca="1" si="29"/>
        <v>18</v>
      </c>
      <c r="L73" s="1">
        <f t="shared" ca="1" si="16"/>
        <v>0</v>
      </c>
      <c r="M73" s="1">
        <f ca="1">J73*'Data Considered'!$B$7</f>
        <v>1980</v>
      </c>
      <c r="N73" s="1">
        <f ca="1">IF(A73&gt;'Data Considered'!$B$13,OFFSET(Retailer!M73,-'Data Considered'!$B$13,0),0)</f>
        <v>1980</v>
      </c>
      <c r="O73" s="1">
        <f ca="1">E73*'Data Considered'!$B$8</f>
        <v>700</v>
      </c>
      <c r="P73" s="1">
        <f ca="1">IF(A73&gt;'Data Considered'!$B$14,OFFSET(Retailer!O73,-'Data Considered'!$B$14,0),0)</f>
        <v>2800</v>
      </c>
      <c r="Q73" s="1">
        <f t="shared" ca="1" si="24"/>
        <v>-930</v>
      </c>
      <c r="R73" s="1">
        <f ca="1">IF(A73=1,'Data Considered'!$B$16,Retailer!R72+Retailer!Q73)</f>
        <v>43400</v>
      </c>
      <c r="S73" s="1">
        <f ca="1">J73*'Data Considered'!$D$7</f>
        <v>110</v>
      </c>
      <c r="T73" s="1">
        <f ca="1">L73*'Data Considered'!$B$20</f>
        <v>0</v>
      </c>
      <c r="U73" s="1">
        <f ca="1">K73*'Data Considered'!$B$24</f>
        <v>720</v>
      </c>
      <c r="V73" s="1">
        <f t="shared" ca="1" si="25"/>
        <v>0</v>
      </c>
      <c r="W73" s="1">
        <f ca="1">V73+'Data Considered'!$B$13-'Data Considered'!$B$14</f>
        <v>-2</v>
      </c>
      <c r="X73" s="1">
        <f t="shared" ca="1" si="26"/>
        <v>2910</v>
      </c>
      <c r="Y73" s="1">
        <f t="shared" ca="1" si="27"/>
        <v>1980</v>
      </c>
    </row>
    <row r="74" spans="1:25" x14ac:dyDescent="0.3">
      <c r="A74" s="1">
        <f t="shared" si="28"/>
        <v>73</v>
      </c>
      <c r="B74" s="1">
        <f>Demand!B74</f>
        <v>16</v>
      </c>
      <c r="C74" s="1">
        <f t="shared" si="14"/>
        <v>25</v>
      </c>
      <c r="D74" s="1">
        <f t="shared" si="15"/>
        <v>75</v>
      </c>
      <c r="E74" s="1">
        <f ca="1">Distributor!J73</f>
        <v>22</v>
      </c>
      <c r="F74" s="1">
        <f ca="1">IF(A74=1,'Data Considered'!$B$5,Retailer!L73+Retailer!E74)</f>
        <v>22</v>
      </c>
      <c r="G74" s="1">
        <f t="shared" ca="1" si="20"/>
        <v>49</v>
      </c>
      <c r="H74" s="1">
        <f t="shared" ca="1" si="21"/>
        <v>26</v>
      </c>
      <c r="I74" s="1">
        <f t="shared" ca="1" si="23"/>
        <v>22</v>
      </c>
      <c r="J74" s="1">
        <f t="shared" ca="1" si="22"/>
        <v>16</v>
      </c>
      <c r="K74" s="1">
        <f t="shared" ca="1" si="29"/>
        <v>0</v>
      </c>
      <c r="L74" s="1">
        <f t="shared" ca="1" si="16"/>
        <v>6</v>
      </c>
      <c r="M74" s="1">
        <f ca="1">J74*'Data Considered'!$B$7</f>
        <v>2880</v>
      </c>
      <c r="N74" s="1">
        <f ca="1">IF(A74&gt;'Data Considered'!$B$13,OFFSET(Retailer!M74,-'Data Considered'!$B$13,0),0)</f>
        <v>2880</v>
      </c>
      <c r="O74" s="1">
        <f ca="1">E74*'Data Considered'!$B$8</f>
        <v>3080</v>
      </c>
      <c r="P74" s="1">
        <f ca="1">IF(A74&gt;'Data Considered'!$B$14,OFFSET(Retailer!O74,-'Data Considered'!$B$14,0),0)</f>
        <v>1120</v>
      </c>
      <c r="Q74" s="1">
        <f t="shared" ca="1" si="24"/>
        <v>1510</v>
      </c>
      <c r="R74" s="1">
        <f ca="1">IF(A74=1,'Data Considered'!$B$16,Retailer!R73+Retailer!Q74)</f>
        <v>44910</v>
      </c>
      <c r="S74" s="1">
        <f ca="1">J74*'Data Considered'!$D$7</f>
        <v>160</v>
      </c>
      <c r="T74" s="1">
        <f ca="1">L74*'Data Considered'!$B$20</f>
        <v>90</v>
      </c>
      <c r="U74" s="1">
        <f ca="1">K74*'Data Considered'!$B$24</f>
        <v>0</v>
      </c>
      <c r="V74" s="1">
        <f t="shared" ca="1" si="25"/>
        <v>1</v>
      </c>
      <c r="W74" s="1">
        <f ca="1">V74+'Data Considered'!$B$13-'Data Considered'!$B$14</f>
        <v>-1</v>
      </c>
      <c r="X74" s="1">
        <f t="shared" ca="1" si="26"/>
        <v>1280</v>
      </c>
      <c r="Y74" s="1">
        <f t="shared" ca="1" si="27"/>
        <v>2880</v>
      </c>
    </row>
    <row r="75" spans="1:25" x14ac:dyDescent="0.3">
      <c r="A75" s="1">
        <f t="shared" si="28"/>
        <v>74</v>
      </c>
      <c r="B75" s="1">
        <f>Demand!B75</f>
        <v>23</v>
      </c>
      <c r="C75" s="1">
        <f t="shared" si="14"/>
        <v>23</v>
      </c>
      <c r="D75" s="1">
        <f t="shared" si="15"/>
        <v>69</v>
      </c>
      <c r="E75" s="1">
        <f ca="1">Distributor!J74</f>
        <v>27</v>
      </c>
      <c r="F75" s="1">
        <f ca="1">IF(A75=1,'Data Considered'!$B$5,Retailer!L74+Retailer!E75)</f>
        <v>33</v>
      </c>
      <c r="G75" s="1">
        <f t="shared" ca="1" si="20"/>
        <v>59</v>
      </c>
      <c r="H75" s="1">
        <f t="shared" ca="1" si="21"/>
        <v>10</v>
      </c>
      <c r="I75" s="1">
        <f t="shared" ca="1" si="23"/>
        <v>33</v>
      </c>
      <c r="J75" s="1">
        <f t="shared" ca="1" si="22"/>
        <v>23</v>
      </c>
      <c r="K75" s="1">
        <f t="shared" ca="1" si="29"/>
        <v>0</v>
      </c>
      <c r="L75" s="1">
        <f t="shared" ca="1" si="16"/>
        <v>10</v>
      </c>
      <c r="M75" s="1">
        <f ca="1">J75*'Data Considered'!$B$7</f>
        <v>4140</v>
      </c>
      <c r="N75" s="1">
        <f ca="1">IF(A75&gt;'Data Considered'!$B$13,OFFSET(Retailer!M75,-'Data Considered'!$B$13,0),0)</f>
        <v>4140</v>
      </c>
      <c r="O75" s="1">
        <f ca="1">E75*'Data Considered'!$B$8</f>
        <v>3780</v>
      </c>
      <c r="P75" s="1">
        <f ca="1">IF(A75&gt;'Data Considered'!$B$14,OFFSET(Retailer!O75,-'Data Considered'!$B$14,0),0)</f>
        <v>700</v>
      </c>
      <c r="Q75" s="1">
        <f t="shared" ca="1" si="24"/>
        <v>3060</v>
      </c>
      <c r="R75" s="1">
        <f ca="1">IF(A75=1,'Data Considered'!$B$16,Retailer!R74+Retailer!Q75)</f>
        <v>47970</v>
      </c>
      <c r="S75" s="1">
        <f ca="1">J75*'Data Considered'!$D$7</f>
        <v>230</v>
      </c>
      <c r="T75" s="1">
        <f ca="1">L75*'Data Considered'!$B$20</f>
        <v>150</v>
      </c>
      <c r="U75" s="1">
        <f ca="1">K75*'Data Considered'!$B$24</f>
        <v>0</v>
      </c>
      <c r="V75" s="1">
        <f t="shared" ca="1" si="25"/>
        <v>1</v>
      </c>
      <c r="W75" s="1">
        <f ca="1">V75+'Data Considered'!$B$13-'Data Considered'!$B$14</f>
        <v>-1</v>
      </c>
      <c r="X75" s="1">
        <f t="shared" ca="1" si="26"/>
        <v>930</v>
      </c>
      <c r="Y75" s="1">
        <f t="shared" ca="1" si="27"/>
        <v>4140</v>
      </c>
    </row>
    <row r="76" spans="1:25" x14ac:dyDescent="0.3">
      <c r="A76" s="1">
        <f t="shared" si="28"/>
        <v>75</v>
      </c>
      <c r="B76" s="1">
        <f>Demand!B76</f>
        <v>20</v>
      </c>
      <c r="C76" s="1">
        <f t="shared" si="14"/>
        <v>20</v>
      </c>
      <c r="D76" s="1">
        <f t="shared" si="15"/>
        <v>60</v>
      </c>
      <c r="E76" s="1">
        <f ca="1">Distributor!J75</f>
        <v>16</v>
      </c>
      <c r="F76" s="1">
        <f ca="1">IF(A76=1,'Data Considered'!$B$5,Retailer!L75+Retailer!E76)</f>
        <v>26</v>
      </c>
      <c r="G76" s="1">
        <f t="shared" ca="1" si="20"/>
        <v>36</v>
      </c>
      <c r="H76" s="1">
        <f t="shared" ca="1" si="21"/>
        <v>24</v>
      </c>
      <c r="I76" s="1">
        <f t="shared" ca="1" si="23"/>
        <v>26</v>
      </c>
      <c r="J76" s="1">
        <f t="shared" ca="1" si="22"/>
        <v>20</v>
      </c>
      <c r="K76" s="1">
        <f t="shared" ca="1" si="29"/>
        <v>0</v>
      </c>
      <c r="L76" s="1">
        <f t="shared" ca="1" si="16"/>
        <v>6</v>
      </c>
      <c r="M76" s="1">
        <f ca="1">J76*'Data Considered'!$B$7</f>
        <v>3600</v>
      </c>
      <c r="N76" s="1">
        <f ca="1">IF(A76&gt;'Data Considered'!$B$13,OFFSET(Retailer!M76,-'Data Considered'!$B$13,0),0)</f>
        <v>3600</v>
      </c>
      <c r="O76" s="1">
        <f ca="1">E76*'Data Considered'!$B$8</f>
        <v>2240</v>
      </c>
      <c r="P76" s="1">
        <f ca="1">IF(A76&gt;'Data Considered'!$B$14,OFFSET(Retailer!O76,-'Data Considered'!$B$14,0),0)</f>
        <v>3080</v>
      </c>
      <c r="Q76" s="1">
        <f t="shared" ca="1" si="24"/>
        <v>230</v>
      </c>
      <c r="R76" s="1">
        <f ca="1">IF(A76=1,'Data Considered'!$B$16,Retailer!R75+Retailer!Q76)</f>
        <v>48200</v>
      </c>
      <c r="S76" s="1">
        <f ca="1">J76*'Data Considered'!$D$7</f>
        <v>200</v>
      </c>
      <c r="T76" s="1">
        <f ca="1">L76*'Data Considered'!$B$20</f>
        <v>90</v>
      </c>
      <c r="U76" s="1">
        <f ca="1">K76*'Data Considered'!$B$24</f>
        <v>0</v>
      </c>
      <c r="V76" s="1">
        <f t="shared" ca="1" si="25"/>
        <v>1</v>
      </c>
      <c r="W76" s="1">
        <f ca="1">V76+'Data Considered'!$B$13-'Data Considered'!$B$14</f>
        <v>-1</v>
      </c>
      <c r="X76" s="1">
        <f t="shared" ca="1" si="26"/>
        <v>3280</v>
      </c>
      <c r="Y76" s="1">
        <f t="shared" ca="1" si="27"/>
        <v>3600</v>
      </c>
    </row>
    <row r="77" spans="1:25" x14ac:dyDescent="0.3">
      <c r="A77" s="1">
        <f t="shared" si="28"/>
        <v>76</v>
      </c>
      <c r="B77" s="1">
        <f>Demand!B77</f>
        <v>23</v>
      </c>
      <c r="C77" s="1">
        <f t="shared" si="14"/>
        <v>22</v>
      </c>
      <c r="D77" s="1">
        <f t="shared" si="15"/>
        <v>66</v>
      </c>
      <c r="E77" s="1">
        <f ca="1">Distributor!J76</f>
        <v>0</v>
      </c>
      <c r="F77" s="1">
        <f ca="1">IF(A77=1,'Data Considered'!$B$5,Retailer!L76+Retailer!E77)</f>
        <v>6</v>
      </c>
      <c r="G77" s="1">
        <f t="shared" ca="1" si="20"/>
        <v>30</v>
      </c>
      <c r="H77" s="1">
        <f t="shared" ca="1" si="21"/>
        <v>36</v>
      </c>
      <c r="I77" s="1">
        <f t="shared" ca="1" si="23"/>
        <v>6</v>
      </c>
      <c r="J77" s="1">
        <f t="shared" ca="1" si="22"/>
        <v>6</v>
      </c>
      <c r="K77" s="1">
        <f t="shared" ca="1" si="29"/>
        <v>17</v>
      </c>
      <c r="L77" s="1">
        <f t="shared" ca="1" si="16"/>
        <v>0</v>
      </c>
      <c r="M77" s="1">
        <f ca="1">J77*'Data Considered'!$B$7</f>
        <v>1080</v>
      </c>
      <c r="N77" s="1">
        <f ca="1">IF(A77&gt;'Data Considered'!$B$13,OFFSET(Retailer!M77,-'Data Considered'!$B$13,0),0)</f>
        <v>1080</v>
      </c>
      <c r="O77" s="1">
        <f ca="1">E77*'Data Considered'!$B$8</f>
        <v>0</v>
      </c>
      <c r="P77" s="1">
        <f ca="1">IF(A77&gt;'Data Considered'!$B$14,OFFSET(Retailer!O77,-'Data Considered'!$B$14,0),0)</f>
        <v>3780</v>
      </c>
      <c r="Q77" s="1">
        <f t="shared" ca="1" si="24"/>
        <v>-2760</v>
      </c>
      <c r="R77" s="1">
        <f ca="1">IF(A77=1,'Data Considered'!$B$16,Retailer!R76+Retailer!Q77)</f>
        <v>45440</v>
      </c>
      <c r="S77" s="1">
        <f ca="1">J77*'Data Considered'!$D$7</f>
        <v>60</v>
      </c>
      <c r="T77" s="1">
        <f ca="1">L77*'Data Considered'!$B$20</f>
        <v>0</v>
      </c>
      <c r="U77" s="1">
        <f ca="1">K77*'Data Considered'!$B$24</f>
        <v>680</v>
      </c>
      <c r="V77" s="1">
        <f t="shared" ca="1" si="25"/>
        <v>0</v>
      </c>
      <c r="W77" s="1">
        <f ca="1">V77+'Data Considered'!$B$13-'Data Considered'!$B$14</f>
        <v>-2</v>
      </c>
      <c r="X77" s="1">
        <f t="shared" ca="1" si="26"/>
        <v>3840</v>
      </c>
      <c r="Y77" s="1">
        <f t="shared" ca="1" si="27"/>
        <v>1080</v>
      </c>
    </row>
    <row r="78" spans="1:25" x14ac:dyDescent="0.3">
      <c r="A78" s="1">
        <f t="shared" si="28"/>
        <v>77</v>
      </c>
      <c r="B78" s="1">
        <f>Demand!B78</f>
        <v>24</v>
      </c>
      <c r="C78" s="1">
        <f t="shared" si="14"/>
        <v>22</v>
      </c>
      <c r="D78" s="1">
        <f t="shared" si="15"/>
        <v>66</v>
      </c>
      <c r="E78" s="1">
        <f ca="1">Distributor!J77</f>
        <v>24</v>
      </c>
      <c r="F78" s="1">
        <f ca="1">IF(A78=1,'Data Considered'!$B$5,Retailer!L77+Retailer!E78)</f>
        <v>24</v>
      </c>
      <c r="G78" s="1">
        <f t="shared" ca="1" si="20"/>
        <v>60</v>
      </c>
      <c r="H78" s="1">
        <f t="shared" ca="1" si="21"/>
        <v>6</v>
      </c>
      <c r="I78" s="1">
        <f t="shared" ca="1" si="23"/>
        <v>24</v>
      </c>
      <c r="J78" s="1">
        <f t="shared" ca="1" si="22"/>
        <v>24</v>
      </c>
      <c r="K78" s="1">
        <f t="shared" ca="1" si="29"/>
        <v>0</v>
      </c>
      <c r="L78" s="1">
        <f t="shared" ca="1" si="16"/>
        <v>0</v>
      </c>
      <c r="M78" s="1">
        <f ca="1">J78*'Data Considered'!$B$7</f>
        <v>4320</v>
      </c>
      <c r="N78" s="1">
        <f ca="1">IF(A78&gt;'Data Considered'!$B$13,OFFSET(Retailer!M78,-'Data Considered'!$B$13,0),0)</f>
        <v>4320</v>
      </c>
      <c r="O78" s="1">
        <f ca="1">E78*'Data Considered'!$B$8</f>
        <v>3360</v>
      </c>
      <c r="P78" s="1">
        <f ca="1">IF(A78&gt;'Data Considered'!$B$14,OFFSET(Retailer!O78,-'Data Considered'!$B$14,0),0)</f>
        <v>2240</v>
      </c>
      <c r="Q78" s="1">
        <f t="shared" ca="1" si="24"/>
        <v>1840</v>
      </c>
      <c r="R78" s="1">
        <f ca="1">IF(A78=1,'Data Considered'!$B$16,Retailer!R77+Retailer!Q78)</f>
        <v>47280</v>
      </c>
      <c r="S78" s="1">
        <f ca="1">J78*'Data Considered'!$D$7</f>
        <v>240</v>
      </c>
      <c r="T78" s="1">
        <f ca="1">L78*'Data Considered'!$B$20</f>
        <v>0</v>
      </c>
      <c r="U78" s="1">
        <f ca="1">K78*'Data Considered'!$B$24</f>
        <v>0</v>
      </c>
      <c r="V78" s="1">
        <f t="shared" ca="1" si="25"/>
        <v>0</v>
      </c>
      <c r="W78" s="1">
        <f ca="1">V78+'Data Considered'!$B$13-'Data Considered'!$B$14</f>
        <v>-2</v>
      </c>
      <c r="X78" s="1">
        <f t="shared" ca="1" si="26"/>
        <v>2480</v>
      </c>
      <c r="Y78" s="1">
        <f t="shared" ca="1" si="27"/>
        <v>4320</v>
      </c>
    </row>
    <row r="79" spans="1:25" x14ac:dyDescent="0.3">
      <c r="A79" s="1">
        <f t="shared" si="28"/>
        <v>78</v>
      </c>
      <c r="B79" s="1">
        <f>Demand!B79</f>
        <v>22</v>
      </c>
      <c r="C79" s="1">
        <f t="shared" si="14"/>
        <v>24</v>
      </c>
      <c r="D79" s="1">
        <f t="shared" si="15"/>
        <v>72</v>
      </c>
      <c r="E79" s="1">
        <f ca="1">Distributor!J78</f>
        <v>36</v>
      </c>
      <c r="F79" s="1">
        <f ca="1">IF(A79=1,'Data Considered'!$B$5,Retailer!L78+Retailer!E79)</f>
        <v>36</v>
      </c>
      <c r="G79" s="1">
        <f t="shared" ca="1" si="20"/>
        <v>42</v>
      </c>
      <c r="H79" s="1">
        <f t="shared" ca="1" si="21"/>
        <v>30</v>
      </c>
      <c r="I79" s="1">
        <f t="shared" ca="1" si="23"/>
        <v>36</v>
      </c>
      <c r="J79" s="1">
        <f t="shared" ca="1" si="22"/>
        <v>22</v>
      </c>
      <c r="K79" s="1">
        <f t="shared" ca="1" si="29"/>
        <v>0</v>
      </c>
      <c r="L79" s="1">
        <f t="shared" ca="1" si="16"/>
        <v>14</v>
      </c>
      <c r="M79" s="1">
        <f ca="1">J79*'Data Considered'!$B$7</f>
        <v>3960</v>
      </c>
      <c r="N79" s="1">
        <f ca="1">IF(A79&gt;'Data Considered'!$B$13,OFFSET(Retailer!M79,-'Data Considered'!$B$13,0),0)</f>
        <v>3960</v>
      </c>
      <c r="O79" s="1">
        <f ca="1">E79*'Data Considered'!$B$8</f>
        <v>5040</v>
      </c>
      <c r="P79" s="1">
        <f ca="1">IF(A79&gt;'Data Considered'!$B$14,OFFSET(Retailer!O79,-'Data Considered'!$B$14,0),0)</f>
        <v>0</v>
      </c>
      <c r="Q79" s="1">
        <f t="shared" ca="1" si="24"/>
        <v>3530</v>
      </c>
      <c r="R79" s="1">
        <f ca="1">IF(A79=1,'Data Considered'!$B$16,Retailer!R78+Retailer!Q79)</f>
        <v>50810</v>
      </c>
      <c r="S79" s="1">
        <f ca="1">J79*'Data Considered'!$D$7</f>
        <v>220</v>
      </c>
      <c r="T79" s="1">
        <f ca="1">L79*'Data Considered'!$B$20</f>
        <v>210</v>
      </c>
      <c r="U79" s="1">
        <f ca="1">K79*'Data Considered'!$B$24</f>
        <v>0</v>
      </c>
      <c r="V79" s="1">
        <f t="shared" ca="1" si="25"/>
        <v>1</v>
      </c>
      <c r="W79" s="1">
        <f ca="1">V79+'Data Considered'!$B$13-'Data Considered'!$B$14</f>
        <v>-1</v>
      </c>
      <c r="X79" s="1">
        <f t="shared" ca="1" si="26"/>
        <v>220</v>
      </c>
      <c r="Y79" s="1">
        <f t="shared" ca="1" si="27"/>
        <v>3960</v>
      </c>
    </row>
    <row r="80" spans="1:25" x14ac:dyDescent="0.3">
      <c r="A80" s="1">
        <f t="shared" si="28"/>
        <v>79</v>
      </c>
      <c r="B80" s="1">
        <f>Demand!B80</f>
        <v>16</v>
      </c>
      <c r="C80" s="1">
        <f t="shared" si="14"/>
        <v>23</v>
      </c>
      <c r="D80" s="1">
        <f t="shared" si="15"/>
        <v>69</v>
      </c>
      <c r="E80" s="1">
        <f ca="1">Distributor!J79</f>
        <v>6</v>
      </c>
      <c r="F80" s="1">
        <f ca="1">IF(A80=1,'Data Considered'!$B$5,Retailer!L79+Retailer!E80)</f>
        <v>20</v>
      </c>
      <c r="G80" s="1">
        <f t="shared" ca="1" si="20"/>
        <v>50</v>
      </c>
      <c r="H80" s="1">
        <f t="shared" ca="1" si="21"/>
        <v>19</v>
      </c>
      <c r="I80" s="1">
        <f t="shared" ca="1" si="23"/>
        <v>20</v>
      </c>
      <c r="J80" s="1">
        <f t="shared" ca="1" si="22"/>
        <v>16</v>
      </c>
      <c r="K80" s="1">
        <f t="shared" ca="1" si="29"/>
        <v>0</v>
      </c>
      <c r="L80" s="1">
        <f t="shared" ca="1" si="16"/>
        <v>4</v>
      </c>
      <c r="M80" s="1">
        <f ca="1">J80*'Data Considered'!$B$7</f>
        <v>2880</v>
      </c>
      <c r="N80" s="1">
        <f ca="1">IF(A80&gt;'Data Considered'!$B$13,OFFSET(Retailer!M80,-'Data Considered'!$B$13,0),0)</f>
        <v>2880</v>
      </c>
      <c r="O80" s="1">
        <f ca="1">E80*'Data Considered'!$B$8</f>
        <v>840</v>
      </c>
      <c r="P80" s="1">
        <f ca="1">IF(A80&gt;'Data Considered'!$B$14,OFFSET(Retailer!O80,-'Data Considered'!$B$14,0),0)</f>
        <v>3360</v>
      </c>
      <c r="Q80" s="1">
        <f t="shared" ca="1" si="24"/>
        <v>-700</v>
      </c>
      <c r="R80" s="1">
        <f ca="1">IF(A80=1,'Data Considered'!$B$16,Retailer!R79+Retailer!Q80)</f>
        <v>50110</v>
      </c>
      <c r="S80" s="1">
        <f ca="1">J80*'Data Considered'!$D$7</f>
        <v>160</v>
      </c>
      <c r="T80" s="1">
        <f ca="1">L80*'Data Considered'!$B$20</f>
        <v>60</v>
      </c>
      <c r="U80" s="1">
        <f ca="1">K80*'Data Considered'!$B$24</f>
        <v>0</v>
      </c>
      <c r="V80" s="1">
        <f t="shared" ca="1" si="25"/>
        <v>1</v>
      </c>
      <c r="W80" s="1">
        <f ca="1">V80+'Data Considered'!$B$13-'Data Considered'!$B$14</f>
        <v>-1</v>
      </c>
      <c r="X80" s="1">
        <f t="shared" ca="1" si="26"/>
        <v>3520</v>
      </c>
      <c r="Y80" s="1">
        <f t="shared" ca="1" si="27"/>
        <v>2880</v>
      </c>
    </row>
    <row r="81" spans="1:25" x14ac:dyDescent="0.3">
      <c r="A81" s="1">
        <f t="shared" si="28"/>
        <v>80</v>
      </c>
      <c r="B81" s="1">
        <f>Demand!B81</f>
        <v>23</v>
      </c>
      <c r="C81" s="1">
        <f t="shared" si="14"/>
        <v>19</v>
      </c>
      <c r="D81" s="1">
        <f t="shared" si="15"/>
        <v>57</v>
      </c>
      <c r="E81" s="1">
        <f ca="1">Distributor!J80</f>
        <v>15</v>
      </c>
      <c r="F81" s="1">
        <f ca="1">IF(A81=1,'Data Considered'!$B$5,Retailer!L80+Retailer!E81)</f>
        <v>19</v>
      </c>
      <c r="G81" s="1">
        <f t="shared" ca="1" si="20"/>
        <v>38</v>
      </c>
      <c r="H81" s="1">
        <f t="shared" ca="1" si="21"/>
        <v>19</v>
      </c>
      <c r="I81" s="1">
        <f t="shared" ca="1" si="23"/>
        <v>19</v>
      </c>
      <c r="J81" s="1">
        <f t="shared" ca="1" si="22"/>
        <v>19</v>
      </c>
      <c r="K81" s="1">
        <f t="shared" ca="1" si="29"/>
        <v>4</v>
      </c>
      <c r="L81" s="1">
        <f t="shared" ca="1" si="16"/>
        <v>0</v>
      </c>
      <c r="M81" s="1">
        <f ca="1">J81*'Data Considered'!$B$7</f>
        <v>3420</v>
      </c>
      <c r="N81" s="1">
        <f ca="1">IF(A81&gt;'Data Considered'!$B$13,OFFSET(Retailer!M81,-'Data Considered'!$B$13,0),0)</f>
        <v>3420</v>
      </c>
      <c r="O81" s="1">
        <f ca="1">E81*'Data Considered'!$B$8</f>
        <v>2100</v>
      </c>
      <c r="P81" s="1">
        <f ca="1">IF(A81&gt;'Data Considered'!$B$14,OFFSET(Retailer!O81,-'Data Considered'!$B$14,0),0)</f>
        <v>5040</v>
      </c>
      <c r="Q81" s="1">
        <f t="shared" ca="1" si="24"/>
        <v>-1810</v>
      </c>
      <c r="R81" s="1">
        <f ca="1">IF(A81=1,'Data Considered'!$B$16,Retailer!R80+Retailer!Q81)</f>
        <v>48300</v>
      </c>
      <c r="S81" s="1">
        <f ca="1">J81*'Data Considered'!$D$7</f>
        <v>190</v>
      </c>
      <c r="T81" s="1">
        <f ca="1">L81*'Data Considered'!$B$20</f>
        <v>0</v>
      </c>
      <c r="U81" s="1">
        <f ca="1">K81*'Data Considered'!$B$24</f>
        <v>160</v>
      </c>
      <c r="V81" s="1">
        <f t="shared" ca="1" si="25"/>
        <v>0</v>
      </c>
      <c r="W81" s="1">
        <f ca="1">V81+'Data Considered'!$B$13-'Data Considered'!$B$14</f>
        <v>-2</v>
      </c>
      <c r="X81" s="1">
        <f t="shared" ca="1" si="26"/>
        <v>5230</v>
      </c>
      <c r="Y81" s="1">
        <f t="shared" ca="1" si="27"/>
        <v>3420</v>
      </c>
    </row>
    <row r="82" spans="1:25" x14ac:dyDescent="0.3">
      <c r="A82" s="1">
        <f t="shared" si="28"/>
        <v>81</v>
      </c>
      <c r="B82" s="1">
        <f>Demand!B82</f>
        <v>14</v>
      </c>
      <c r="C82" s="1">
        <f t="shared" si="14"/>
        <v>20</v>
      </c>
      <c r="D82" s="1">
        <f t="shared" si="15"/>
        <v>60</v>
      </c>
      <c r="E82" s="1">
        <f ca="1">Distributor!J81</f>
        <v>19</v>
      </c>
      <c r="F82" s="1">
        <f ca="1">IF(A82=1,'Data Considered'!$B$5,Retailer!L81+Retailer!E82)</f>
        <v>19</v>
      </c>
      <c r="G82" s="1">
        <f t="shared" ca="1" si="20"/>
        <v>38</v>
      </c>
      <c r="H82" s="1">
        <f t="shared" ca="1" si="21"/>
        <v>22</v>
      </c>
      <c r="I82" s="1">
        <f t="shared" ca="1" si="23"/>
        <v>19</v>
      </c>
      <c r="J82" s="1">
        <f t="shared" ca="1" si="22"/>
        <v>14</v>
      </c>
      <c r="K82" s="1">
        <f t="shared" ca="1" si="29"/>
        <v>0</v>
      </c>
      <c r="L82" s="1">
        <f t="shared" ca="1" si="16"/>
        <v>5</v>
      </c>
      <c r="M82" s="1">
        <f ca="1">J82*'Data Considered'!$B$7</f>
        <v>2520</v>
      </c>
      <c r="N82" s="1">
        <f ca="1">IF(A82&gt;'Data Considered'!$B$13,OFFSET(Retailer!M82,-'Data Considered'!$B$13,0),0)</f>
        <v>2520</v>
      </c>
      <c r="O82" s="1">
        <f ca="1">E82*'Data Considered'!$B$8</f>
        <v>2660</v>
      </c>
      <c r="P82" s="1">
        <f ca="1">IF(A82&gt;'Data Considered'!$B$14,OFFSET(Retailer!O82,-'Data Considered'!$B$14,0),0)</f>
        <v>840</v>
      </c>
      <c r="Q82" s="1">
        <f t="shared" ca="1" si="24"/>
        <v>1465</v>
      </c>
      <c r="R82" s="1">
        <f ca="1">IF(A82=1,'Data Considered'!$B$16,Retailer!R81+Retailer!Q82)</f>
        <v>49765</v>
      </c>
      <c r="S82" s="1">
        <f ca="1">J82*'Data Considered'!$D$7</f>
        <v>140</v>
      </c>
      <c r="T82" s="1">
        <f ca="1">L82*'Data Considered'!$B$20</f>
        <v>75</v>
      </c>
      <c r="U82" s="1">
        <f ca="1">K82*'Data Considered'!$B$24</f>
        <v>0</v>
      </c>
      <c r="V82" s="1">
        <f t="shared" ca="1" si="25"/>
        <v>1</v>
      </c>
      <c r="W82" s="1">
        <f ca="1">V82+'Data Considered'!$B$13-'Data Considered'!$B$14</f>
        <v>-1</v>
      </c>
      <c r="X82" s="1">
        <f t="shared" ca="1" si="26"/>
        <v>980</v>
      </c>
      <c r="Y82" s="1">
        <f t="shared" ca="1" si="27"/>
        <v>2520</v>
      </c>
    </row>
    <row r="83" spans="1:25" x14ac:dyDescent="0.3">
      <c r="A83" s="1">
        <f t="shared" si="28"/>
        <v>82</v>
      </c>
      <c r="B83" s="1">
        <f>Demand!B83</f>
        <v>20</v>
      </c>
      <c r="C83" s="1">
        <f t="shared" si="14"/>
        <v>19</v>
      </c>
      <c r="D83" s="1">
        <f t="shared" si="15"/>
        <v>57</v>
      </c>
      <c r="E83" s="1">
        <f ca="1">Distributor!J82</f>
        <v>19</v>
      </c>
      <c r="F83" s="1">
        <f ca="1">IF(A83=1,'Data Considered'!$B$5,Retailer!L82+Retailer!E83)</f>
        <v>24</v>
      </c>
      <c r="G83" s="1">
        <f t="shared" ca="1" si="20"/>
        <v>46</v>
      </c>
      <c r="H83" s="1">
        <f t="shared" ca="1" si="21"/>
        <v>11</v>
      </c>
      <c r="I83" s="1">
        <f t="shared" ca="1" si="23"/>
        <v>24</v>
      </c>
      <c r="J83" s="1">
        <f t="shared" ca="1" si="22"/>
        <v>20</v>
      </c>
      <c r="K83" s="1">
        <f t="shared" ca="1" si="29"/>
        <v>0</v>
      </c>
      <c r="L83" s="1">
        <f t="shared" ca="1" si="16"/>
        <v>4</v>
      </c>
      <c r="M83" s="1">
        <f ca="1">J83*'Data Considered'!$B$7</f>
        <v>3600</v>
      </c>
      <c r="N83" s="1">
        <f ca="1">IF(A83&gt;'Data Considered'!$B$13,OFFSET(Retailer!M83,-'Data Considered'!$B$13,0),0)</f>
        <v>3600</v>
      </c>
      <c r="O83" s="1">
        <f ca="1">E83*'Data Considered'!$B$8</f>
        <v>2660</v>
      </c>
      <c r="P83" s="1">
        <f ca="1">IF(A83&gt;'Data Considered'!$B$14,OFFSET(Retailer!O83,-'Data Considered'!$B$14,0),0)</f>
        <v>2100</v>
      </c>
      <c r="Q83" s="1">
        <f t="shared" ca="1" si="24"/>
        <v>1240</v>
      </c>
      <c r="R83" s="1">
        <f ca="1">IF(A83=1,'Data Considered'!$B$16,Retailer!R82+Retailer!Q83)</f>
        <v>51005</v>
      </c>
      <c r="S83" s="1">
        <f ca="1">J83*'Data Considered'!$D$7</f>
        <v>200</v>
      </c>
      <c r="T83" s="1">
        <f ca="1">L83*'Data Considered'!$B$20</f>
        <v>60</v>
      </c>
      <c r="U83" s="1">
        <f ca="1">K83*'Data Considered'!$B$24</f>
        <v>0</v>
      </c>
      <c r="V83" s="1">
        <f t="shared" ca="1" si="25"/>
        <v>1</v>
      </c>
      <c r="W83" s="1">
        <f ca="1">V83+'Data Considered'!$B$13-'Data Considered'!$B$14</f>
        <v>-1</v>
      </c>
      <c r="X83" s="1">
        <f t="shared" ca="1" si="26"/>
        <v>2300</v>
      </c>
      <c r="Y83" s="1">
        <f t="shared" ca="1" si="27"/>
        <v>3600</v>
      </c>
    </row>
    <row r="84" spans="1:25" x14ac:dyDescent="0.3">
      <c r="A84" s="1">
        <f t="shared" si="28"/>
        <v>83</v>
      </c>
      <c r="B84" s="1">
        <f>Demand!B84</f>
        <v>19</v>
      </c>
      <c r="C84" s="1">
        <f t="shared" si="14"/>
        <v>17</v>
      </c>
      <c r="D84" s="1">
        <f t="shared" si="15"/>
        <v>51</v>
      </c>
      <c r="E84" s="1">
        <f ca="1">Distributor!J83</f>
        <v>22</v>
      </c>
      <c r="F84" s="1">
        <f ca="1">IF(A84=1,'Data Considered'!$B$5,Retailer!L83+Retailer!E84)</f>
        <v>26</v>
      </c>
      <c r="G84" s="1">
        <f t="shared" ca="1" si="20"/>
        <v>37</v>
      </c>
      <c r="H84" s="1">
        <f t="shared" ca="1" si="21"/>
        <v>14</v>
      </c>
      <c r="I84" s="1">
        <f t="shared" ca="1" si="23"/>
        <v>26</v>
      </c>
      <c r="J84" s="1">
        <f t="shared" ca="1" si="22"/>
        <v>19</v>
      </c>
      <c r="K84" s="1">
        <f t="shared" ca="1" si="29"/>
        <v>0</v>
      </c>
      <c r="L84" s="1">
        <f t="shared" ca="1" si="16"/>
        <v>7</v>
      </c>
      <c r="M84" s="1">
        <f ca="1">J84*'Data Considered'!$B$7</f>
        <v>3420</v>
      </c>
      <c r="N84" s="1">
        <f ca="1">IF(A84&gt;'Data Considered'!$B$13,OFFSET(Retailer!M84,-'Data Considered'!$B$13,0),0)</f>
        <v>3420</v>
      </c>
      <c r="O84" s="1">
        <f ca="1">E84*'Data Considered'!$B$8</f>
        <v>3080</v>
      </c>
      <c r="P84" s="1">
        <f ca="1">IF(A84&gt;'Data Considered'!$B$14,OFFSET(Retailer!O84,-'Data Considered'!$B$14,0),0)</f>
        <v>2660</v>
      </c>
      <c r="Q84" s="1">
        <f t="shared" ca="1" si="24"/>
        <v>465</v>
      </c>
      <c r="R84" s="1">
        <f ca="1">IF(A84=1,'Data Considered'!$B$16,Retailer!R83+Retailer!Q84)</f>
        <v>51470</v>
      </c>
      <c r="S84" s="1">
        <f ca="1">J84*'Data Considered'!$D$7</f>
        <v>190</v>
      </c>
      <c r="T84" s="1">
        <f ca="1">L84*'Data Considered'!$B$20</f>
        <v>105</v>
      </c>
      <c r="U84" s="1">
        <f ca="1">K84*'Data Considered'!$B$24</f>
        <v>0</v>
      </c>
      <c r="V84" s="1">
        <f t="shared" ca="1" si="25"/>
        <v>1</v>
      </c>
      <c r="W84" s="1">
        <f ca="1">V84+'Data Considered'!$B$13-'Data Considered'!$B$14</f>
        <v>-1</v>
      </c>
      <c r="X84" s="1">
        <f t="shared" ca="1" si="26"/>
        <v>2850</v>
      </c>
      <c r="Y84" s="1">
        <f t="shared" ca="1" si="27"/>
        <v>3420</v>
      </c>
    </row>
    <row r="85" spans="1:25" x14ac:dyDescent="0.3">
      <c r="A85" s="1">
        <f t="shared" si="28"/>
        <v>84</v>
      </c>
      <c r="B85" s="1">
        <f>Demand!B85</f>
        <v>27</v>
      </c>
      <c r="C85" s="1">
        <f t="shared" si="14"/>
        <v>20</v>
      </c>
      <c r="D85" s="1">
        <f t="shared" si="15"/>
        <v>60</v>
      </c>
      <c r="E85" s="1">
        <f ca="1">Distributor!J84</f>
        <v>11</v>
      </c>
      <c r="F85" s="1">
        <f ca="1">IF(A85=1,'Data Considered'!$B$5,Retailer!L84+Retailer!E85)</f>
        <v>18</v>
      </c>
      <c r="G85" s="1">
        <f t="shared" ca="1" si="20"/>
        <v>32</v>
      </c>
      <c r="H85" s="1">
        <f t="shared" ca="1" si="21"/>
        <v>28</v>
      </c>
      <c r="I85" s="1">
        <f t="shared" ca="1" si="23"/>
        <v>18</v>
      </c>
      <c r="J85" s="1">
        <f t="shared" ca="1" si="22"/>
        <v>18</v>
      </c>
      <c r="K85" s="1">
        <f t="shared" ca="1" si="29"/>
        <v>9</v>
      </c>
      <c r="L85" s="1">
        <f t="shared" ca="1" si="16"/>
        <v>0</v>
      </c>
      <c r="M85" s="1">
        <f ca="1">J85*'Data Considered'!$B$7</f>
        <v>3240</v>
      </c>
      <c r="N85" s="1">
        <f ca="1">IF(A85&gt;'Data Considered'!$B$13,OFFSET(Retailer!M85,-'Data Considered'!$B$13,0),0)</f>
        <v>3240</v>
      </c>
      <c r="O85" s="1">
        <f ca="1">E85*'Data Considered'!$B$8</f>
        <v>1540</v>
      </c>
      <c r="P85" s="1">
        <f ca="1">IF(A85&gt;'Data Considered'!$B$14,OFFSET(Retailer!O85,-'Data Considered'!$B$14,0),0)</f>
        <v>2660</v>
      </c>
      <c r="Q85" s="1">
        <f t="shared" ca="1" si="24"/>
        <v>400</v>
      </c>
      <c r="R85" s="1">
        <f ca="1">IF(A85=1,'Data Considered'!$B$16,Retailer!R84+Retailer!Q85)</f>
        <v>51870</v>
      </c>
      <c r="S85" s="1">
        <f ca="1">J85*'Data Considered'!$D$7</f>
        <v>180</v>
      </c>
      <c r="T85" s="1">
        <f ca="1">L85*'Data Considered'!$B$20</f>
        <v>0</v>
      </c>
      <c r="U85" s="1">
        <f ca="1">K85*'Data Considered'!$B$24</f>
        <v>360</v>
      </c>
      <c r="V85" s="1">
        <f t="shared" ca="1" si="25"/>
        <v>0</v>
      </c>
      <c r="W85" s="1">
        <f ca="1">V85+'Data Considered'!$B$13-'Data Considered'!$B$14</f>
        <v>-2</v>
      </c>
      <c r="X85" s="1">
        <f t="shared" ca="1" si="26"/>
        <v>2840</v>
      </c>
      <c r="Y85" s="1">
        <f t="shared" ca="1" si="27"/>
        <v>3240</v>
      </c>
    </row>
    <row r="86" spans="1:25" x14ac:dyDescent="0.3">
      <c r="A86" s="1">
        <f t="shared" si="28"/>
        <v>85</v>
      </c>
      <c r="B86" s="1">
        <f>Demand!B86</f>
        <v>26</v>
      </c>
      <c r="C86" s="1">
        <f t="shared" si="14"/>
        <v>23</v>
      </c>
      <c r="D86" s="1">
        <f t="shared" si="15"/>
        <v>69</v>
      </c>
      <c r="E86" s="1">
        <f ca="1">Distributor!J85</f>
        <v>14</v>
      </c>
      <c r="F86" s="1">
        <f ca="1">IF(A86=1,'Data Considered'!$B$5,Retailer!L85+Retailer!E86)</f>
        <v>14</v>
      </c>
      <c r="G86" s="1">
        <f t="shared" ca="1" si="20"/>
        <v>42</v>
      </c>
      <c r="H86" s="1">
        <f t="shared" ca="1" si="21"/>
        <v>27</v>
      </c>
      <c r="I86" s="1">
        <f t="shared" ca="1" si="23"/>
        <v>14</v>
      </c>
      <c r="J86" s="1">
        <f t="shared" ca="1" si="22"/>
        <v>14</v>
      </c>
      <c r="K86" s="1">
        <f t="shared" ca="1" si="29"/>
        <v>12</v>
      </c>
      <c r="L86" s="1">
        <f t="shared" ca="1" si="16"/>
        <v>0</v>
      </c>
      <c r="M86" s="1">
        <f ca="1">J86*'Data Considered'!$B$7</f>
        <v>2520</v>
      </c>
      <c r="N86" s="1">
        <f ca="1">IF(A86&gt;'Data Considered'!$B$13,OFFSET(Retailer!M86,-'Data Considered'!$B$13,0),0)</f>
        <v>2520</v>
      </c>
      <c r="O86" s="1">
        <f ca="1">E86*'Data Considered'!$B$8</f>
        <v>1960</v>
      </c>
      <c r="P86" s="1">
        <f ca="1">IF(A86&gt;'Data Considered'!$B$14,OFFSET(Retailer!O86,-'Data Considered'!$B$14,0),0)</f>
        <v>3080</v>
      </c>
      <c r="Q86" s="1">
        <f t="shared" ca="1" si="24"/>
        <v>-700</v>
      </c>
      <c r="R86" s="1">
        <f ca="1">IF(A86=1,'Data Considered'!$B$16,Retailer!R85+Retailer!Q86)</f>
        <v>51170</v>
      </c>
      <c r="S86" s="1">
        <f ca="1">J86*'Data Considered'!$D$7</f>
        <v>140</v>
      </c>
      <c r="T86" s="1">
        <f ca="1">L86*'Data Considered'!$B$20</f>
        <v>0</v>
      </c>
      <c r="U86" s="1">
        <f ca="1">K86*'Data Considered'!$B$24</f>
        <v>480</v>
      </c>
      <c r="V86" s="1">
        <f t="shared" ca="1" si="25"/>
        <v>0</v>
      </c>
      <c r="W86" s="1">
        <f ca="1">V86+'Data Considered'!$B$13-'Data Considered'!$B$14</f>
        <v>-2</v>
      </c>
      <c r="X86" s="1">
        <f t="shared" ca="1" si="26"/>
        <v>3220</v>
      </c>
      <c r="Y86" s="1">
        <f t="shared" ca="1" si="27"/>
        <v>2520</v>
      </c>
    </row>
    <row r="87" spans="1:25" x14ac:dyDescent="0.3">
      <c r="A87" s="1">
        <f t="shared" si="28"/>
        <v>86</v>
      </c>
      <c r="B87" s="1">
        <f>Demand!B87</f>
        <v>14</v>
      </c>
      <c r="C87" s="1">
        <f t="shared" si="14"/>
        <v>27</v>
      </c>
      <c r="D87" s="1">
        <f t="shared" si="15"/>
        <v>81</v>
      </c>
      <c r="E87" s="1">
        <f ca="1">Distributor!J86</f>
        <v>28</v>
      </c>
      <c r="F87" s="1">
        <f ca="1">IF(A87=1,'Data Considered'!$B$5,Retailer!L86+Retailer!E87)</f>
        <v>28</v>
      </c>
      <c r="G87" s="1">
        <f t="shared" ca="1" si="20"/>
        <v>55</v>
      </c>
      <c r="H87" s="1">
        <f t="shared" ca="1" si="21"/>
        <v>26</v>
      </c>
      <c r="I87" s="1">
        <f t="shared" ca="1" si="23"/>
        <v>28</v>
      </c>
      <c r="J87" s="1">
        <f t="shared" ca="1" si="22"/>
        <v>14</v>
      </c>
      <c r="K87" s="1">
        <f t="shared" ca="1" si="29"/>
        <v>0</v>
      </c>
      <c r="L87" s="1">
        <f t="shared" ca="1" si="16"/>
        <v>14</v>
      </c>
      <c r="M87" s="1">
        <f ca="1">J87*'Data Considered'!$B$7</f>
        <v>2520</v>
      </c>
      <c r="N87" s="1">
        <f ca="1">IF(A87&gt;'Data Considered'!$B$13,OFFSET(Retailer!M87,-'Data Considered'!$B$13,0),0)</f>
        <v>2520</v>
      </c>
      <c r="O87" s="1">
        <f ca="1">E87*'Data Considered'!$B$8</f>
        <v>3920</v>
      </c>
      <c r="P87" s="1">
        <f ca="1">IF(A87&gt;'Data Considered'!$B$14,OFFSET(Retailer!O87,-'Data Considered'!$B$14,0),0)</f>
        <v>1540</v>
      </c>
      <c r="Q87" s="1">
        <f t="shared" ca="1" si="24"/>
        <v>630</v>
      </c>
      <c r="R87" s="1">
        <f ca="1">IF(A87=1,'Data Considered'!$B$16,Retailer!R86+Retailer!Q87)</f>
        <v>51800</v>
      </c>
      <c r="S87" s="1">
        <f ca="1">J87*'Data Considered'!$D$7</f>
        <v>140</v>
      </c>
      <c r="T87" s="1">
        <f ca="1">L87*'Data Considered'!$B$20</f>
        <v>210</v>
      </c>
      <c r="U87" s="1">
        <f ca="1">K87*'Data Considered'!$B$24</f>
        <v>0</v>
      </c>
      <c r="V87" s="1">
        <f t="shared" ca="1" si="25"/>
        <v>1</v>
      </c>
      <c r="W87" s="1">
        <f ca="1">V87+'Data Considered'!$B$13-'Data Considered'!$B$14</f>
        <v>-1</v>
      </c>
      <c r="X87" s="1">
        <f t="shared" ca="1" si="26"/>
        <v>1680</v>
      </c>
      <c r="Y87" s="1">
        <f t="shared" ca="1" si="27"/>
        <v>2520</v>
      </c>
    </row>
    <row r="88" spans="1:25" x14ac:dyDescent="0.3">
      <c r="A88" s="1">
        <f t="shared" si="28"/>
        <v>87</v>
      </c>
      <c r="B88" s="1">
        <f>Demand!B88</f>
        <v>13</v>
      </c>
      <c r="C88" s="1">
        <f t="shared" si="14"/>
        <v>20</v>
      </c>
      <c r="D88" s="1">
        <f t="shared" si="15"/>
        <v>60</v>
      </c>
      <c r="E88" s="1">
        <f ca="1">Distributor!J87</f>
        <v>10</v>
      </c>
      <c r="F88" s="1">
        <f ca="1">IF(A88=1,'Data Considered'!$B$5,Retailer!L87+Retailer!E88)</f>
        <v>24</v>
      </c>
      <c r="G88" s="1">
        <f t="shared" ca="1" si="20"/>
        <v>50</v>
      </c>
      <c r="H88" s="1">
        <f t="shared" ca="1" si="21"/>
        <v>10</v>
      </c>
      <c r="I88" s="1">
        <f t="shared" ca="1" si="23"/>
        <v>24</v>
      </c>
      <c r="J88" s="1">
        <f t="shared" ca="1" si="22"/>
        <v>13</v>
      </c>
      <c r="K88" s="1">
        <f t="shared" ca="1" si="29"/>
        <v>0</v>
      </c>
      <c r="L88" s="1">
        <f t="shared" ca="1" si="16"/>
        <v>11</v>
      </c>
      <c r="M88" s="1">
        <f ca="1">J88*'Data Considered'!$B$7</f>
        <v>2340</v>
      </c>
      <c r="N88" s="1">
        <f ca="1">IF(A88&gt;'Data Considered'!$B$13,OFFSET(Retailer!M88,-'Data Considered'!$B$13,0),0)</f>
        <v>2340</v>
      </c>
      <c r="O88" s="1">
        <f ca="1">E88*'Data Considered'!$B$8</f>
        <v>1400</v>
      </c>
      <c r="P88" s="1">
        <f ca="1">IF(A88&gt;'Data Considered'!$B$14,OFFSET(Retailer!O88,-'Data Considered'!$B$14,0),0)</f>
        <v>1960</v>
      </c>
      <c r="Q88" s="1">
        <f t="shared" ca="1" si="24"/>
        <v>85</v>
      </c>
      <c r="R88" s="1">
        <f ca="1">IF(A88=1,'Data Considered'!$B$16,Retailer!R87+Retailer!Q88)</f>
        <v>51885</v>
      </c>
      <c r="S88" s="1">
        <f ca="1">J88*'Data Considered'!$D$7</f>
        <v>130</v>
      </c>
      <c r="T88" s="1">
        <f ca="1">L88*'Data Considered'!$B$20</f>
        <v>165</v>
      </c>
      <c r="U88" s="1">
        <f ca="1">K88*'Data Considered'!$B$24</f>
        <v>0</v>
      </c>
      <c r="V88" s="1">
        <f t="shared" ca="1" si="25"/>
        <v>1</v>
      </c>
      <c r="W88" s="1">
        <f ca="1">V88+'Data Considered'!$B$13-'Data Considered'!$B$14</f>
        <v>-1</v>
      </c>
      <c r="X88" s="1">
        <f t="shared" ca="1" si="26"/>
        <v>2090</v>
      </c>
      <c r="Y88" s="1">
        <f t="shared" ca="1" si="27"/>
        <v>2340</v>
      </c>
    </row>
    <row r="89" spans="1:25" x14ac:dyDescent="0.3">
      <c r="A89" s="1">
        <f t="shared" si="28"/>
        <v>88</v>
      </c>
      <c r="B89" s="1">
        <f>Demand!B89</f>
        <v>32</v>
      </c>
      <c r="C89" s="1">
        <f t="shared" si="14"/>
        <v>14</v>
      </c>
      <c r="D89" s="1">
        <f t="shared" si="15"/>
        <v>42</v>
      </c>
      <c r="E89" s="1">
        <f ca="1">Distributor!J88</f>
        <v>1</v>
      </c>
      <c r="F89" s="1">
        <f ca="1">IF(A89=1,'Data Considered'!$B$5,Retailer!L88+Retailer!E89)</f>
        <v>12</v>
      </c>
      <c r="G89" s="1">
        <f t="shared" ca="1" si="20"/>
        <v>22</v>
      </c>
      <c r="H89" s="1">
        <f t="shared" ca="1" si="21"/>
        <v>20</v>
      </c>
      <c r="I89" s="1">
        <f t="shared" ca="1" si="23"/>
        <v>12</v>
      </c>
      <c r="J89" s="1">
        <f t="shared" ca="1" si="22"/>
        <v>12</v>
      </c>
      <c r="K89" s="1">
        <f t="shared" ca="1" si="29"/>
        <v>20</v>
      </c>
      <c r="L89" s="1">
        <f t="shared" ca="1" si="16"/>
        <v>0</v>
      </c>
      <c r="M89" s="1">
        <f ca="1">J89*'Data Considered'!$B$7</f>
        <v>2160</v>
      </c>
      <c r="N89" s="1">
        <f ca="1">IF(A89&gt;'Data Considered'!$B$13,OFFSET(Retailer!M89,-'Data Considered'!$B$13,0),0)</f>
        <v>2160</v>
      </c>
      <c r="O89" s="1">
        <f ca="1">E89*'Data Considered'!$B$8</f>
        <v>140</v>
      </c>
      <c r="P89" s="1">
        <f ca="1">IF(A89&gt;'Data Considered'!$B$14,OFFSET(Retailer!O89,-'Data Considered'!$B$14,0),0)</f>
        <v>3920</v>
      </c>
      <c r="Q89" s="1">
        <f t="shared" ca="1" si="24"/>
        <v>-1880</v>
      </c>
      <c r="R89" s="1">
        <f ca="1">IF(A89=1,'Data Considered'!$B$16,Retailer!R88+Retailer!Q89)</f>
        <v>50005</v>
      </c>
      <c r="S89" s="1">
        <f ca="1">J89*'Data Considered'!$D$7</f>
        <v>120</v>
      </c>
      <c r="T89" s="1">
        <f ca="1">L89*'Data Considered'!$B$20</f>
        <v>0</v>
      </c>
      <c r="U89" s="1">
        <f ca="1">K89*'Data Considered'!$B$24</f>
        <v>800</v>
      </c>
      <c r="V89" s="1">
        <f t="shared" ca="1" si="25"/>
        <v>0</v>
      </c>
      <c r="W89" s="1">
        <f ca="1">V89+'Data Considered'!$B$13-'Data Considered'!$B$14</f>
        <v>-2</v>
      </c>
      <c r="X89" s="1">
        <f t="shared" ca="1" si="26"/>
        <v>4040</v>
      </c>
      <c r="Y89" s="1">
        <f t="shared" ca="1" si="27"/>
        <v>2160</v>
      </c>
    </row>
    <row r="90" spans="1:25" x14ac:dyDescent="0.3">
      <c r="A90" s="1">
        <f t="shared" si="28"/>
        <v>89</v>
      </c>
      <c r="B90" s="1">
        <f>Demand!B90</f>
        <v>23</v>
      </c>
      <c r="C90" s="1">
        <f t="shared" si="14"/>
        <v>23</v>
      </c>
      <c r="D90" s="1">
        <f t="shared" si="15"/>
        <v>69</v>
      </c>
      <c r="E90" s="1">
        <f ca="1">Distributor!J89</f>
        <v>10</v>
      </c>
      <c r="F90" s="1">
        <f ca="1">IF(A90=1,'Data Considered'!$B$5,Retailer!L89+Retailer!E90)</f>
        <v>10</v>
      </c>
      <c r="G90" s="1">
        <f t="shared" ca="1" si="20"/>
        <v>30</v>
      </c>
      <c r="H90" s="1">
        <f t="shared" ca="1" si="21"/>
        <v>39</v>
      </c>
      <c r="I90" s="1">
        <f t="shared" ca="1" si="23"/>
        <v>10</v>
      </c>
      <c r="J90" s="1">
        <f t="shared" ca="1" si="22"/>
        <v>10</v>
      </c>
      <c r="K90" s="1">
        <f t="shared" ca="1" si="29"/>
        <v>13</v>
      </c>
      <c r="L90" s="1">
        <f t="shared" ca="1" si="16"/>
        <v>0</v>
      </c>
      <c r="M90" s="1">
        <f ca="1">J90*'Data Considered'!$B$7</f>
        <v>1800</v>
      </c>
      <c r="N90" s="1">
        <f ca="1">IF(A90&gt;'Data Considered'!$B$13,OFFSET(Retailer!M90,-'Data Considered'!$B$13,0),0)</f>
        <v>1800</v>
      </c>
      <c r="O90" s="1">
        <f ca="1">E90*'Data Considered'!$B$8</f>
        <v>1400</v>
      </c>
      <c r="P90" s="1">
        <f ca="1">IF(A90&gt;'Data Considered'!$B$14,OFFSET(Retailer!O90,-'Data Considered'!$B$14,0),0)</f>
        <v>1400</v>
      </c>
      <c r="Q90" s="1">
        <f t="shared" ca="1" si="24"/>
        <v>300</v>
      </c>
      <c r="R90" s="1">
        <f ca="1">IF(A90=1,'Data Considered'!$B$16,Retailer!R89+Retailer!Q90)</f>
        <v>50305</v>
      </c>
      <c r="S90" s="1">
        <f ca="1">J90*'Data Considered'!$D$7</f>
        <v>100</v>
      </c>
      <c r="T90" s="1">
        <f ca="1">L90*'Data Considered'!$B$20</f>
        <v>0</v>
      </c>
      <c r="U90" s="1">
        <f ca="1">K90*'Data Considered'!$B$24</f>
        <v>520</v>
      </c>
      <c r="V90" s="1">
        <f t="shared" ca="1" si="25"/>
        <v>0</v>
      </c>
      <c r="W90" s="1">
        <f ca="1">V90+'Data Considered'!$B$13-'Data Considered'!$B$14</f>
        <v>-2</v>
      </c>
      <c r="X90" s="1">
        <f t="shared" ca="1" si="26"/>
        <v>1500</v>
      </c>
      <c r="Y90" s="1">
        <f t="shared" ca="1" si="27"/>
        <v>1800</v>
      </c>
    </row>
    <row r="91" spans="1:25" x14ac:dyDescent="0.3">
      <c r="A91" s="1">
        <f t="shared" si="28"/>
        <v>90</v>
      </c>
      <c r="B91" s="1">
        <f>Demand!B91</f>
        <v>31</v>
      </c>
      <c r="C91" s="1">
        <f t="shared" si="14"/>
        <v>28</v>
      </c>
      <c r="D91" s="1">
        <f t="shared" si="15"/>
        <v>84</v>
      </c>
      <c r="E91" s="1">
        <f ca="1">Distributor!J90</f>
        <v>20</v>
      </c>
      <c r="F91" s="1">
        <f ca="1">IF(A91=1,'Data Considered'!$B$5,Retailer!L90+Retailer!E91)</f>
        <v>20</v>
      </c>
      <c r="G91" s="1">
        <f t="shared" ca="1" si="20"/>
        <v>59</v>
      </c>
      <c r="H91" s="1">
        <f t="shared" ca="1" si="21"/>
        <v>25</v>
      </c>
      <c r="I91" s="1">
        <f t="shared" ca="1" si="23"/>
        <v>20</v>
      </c>
      <c r="J91" s="1">
        <f t="shared" ca="1" si="22"/>
        <v>20</v>
      </c>
      <c r="K91" s="1">
        <f t="shared" ca="1" si="29"/>
        <v>11</v>
      </c>
      <c r="L91" s="1">
        <f t="shared" ca="1" si="16"/>
        <v>0</v>
      </c>
      <c r="M91" s="1">
        <f ca="1">J91*'Data Considered'!$B$7</f>
        <v>3600</v>
      </c>
      <c r="N91" s="1">
        <f ca="1">IF(A91&gt;'Data Considered'!$B$13,OFFSET(Retailer!M91,-'Data Considered'!$B$13,0),0)</f>
        <v>3600</v>
      </c>
      <c r="O91" s="1">
        <f ca="1">E91*'Data Considered'!$B$8</f>
        <v>2800</v>
      </c>
      <c r="P91" s="1">
        <f ca="1">IF(A91&gt;'Data Considered'!$B$14,OFFSET(Retailer!O91,-'Data Considered'!$B$14,0),0)</f>
        <v>140</v>
      </c>
      <c r="Q91" s="1">
        <f t="shared" ca="1" si="24"/>
        <v>3260</v>
      </c>
      <c r="R91" s="1">
        <f ca="1">IF(A91=1,'Data Considered'!$B$16,Retailer!R90+Retailer!Q91)</f>
        <v>53565</v>
      </c>
      <c r="S91" s="1">
        <f ca="1">J91*'Data Considered'!$D$7</f>
        <v>200</v>
      </c>
      <c r="T91" s="1">
        <f ca="1">L91*'Data Considered'!$B$20</f>
        <v>0</v>
      </c>
      <c r="U91" s="1">
        <f ca="1">K91*'Data Considered'!$B$24</f>
        <v>440</v>
      </c>
      <c r="V91" s="1">
        <f t="shared" ca="1" si="25"/>
        <v>0</v>
      </c>
      <c r="W91" s="1">
        <f ca="1">V91+'Data Considered'!$B$13-'Data Considered'!$B$14</f>
        <v>-2</v>
      </c>
      <c r="X91" s="1">
        <f t="shared" ca="1" si="26"/>
        <v>340</v>
      </c>
      <c r="Y91" s="1">
        <f t="shared" ca="1" si="27"/>
        <v>3600</v>
      </c>
    </row>
    <row r="92" spans="1:25" x14ac:dyDescent="0.3">
      <c r="A92" s="1">
        <f t="shared" si="28"/>
        <v>91</v>
      </c>
      <c r="B92" s="1">
        <f>Demand!B92</f>
        <v>24</v>
      </c>
      <c r="C92" s="1">
        <f t="shared" si="14"/>
        <v>27</v>
      </c>
      <c r="D92" s="1">
        <f t="shared" si="15"/>
        <v>81</v>
      </c>
      <c r="E92" s="1">
        <f ca="1">Distributor!J91</f>
        <v>20</v>
      </c>
      <c r="F92" s="1">
        <f ca="1">IF(A92=1,'Data Considered'!$B$5,Retailer!L91+Retailer!E92)</f>
        <v>20</v>
      </c>
      <c r="G92" s="1">
        <f t="shared" ca="1" si="20"/>
        <v>45</v>
      </c>
      <c r="H92" s="1">
        <f t="shared" ca="1" si="21"/>
        <v>36</v>
      </c>
      <c r="I92" s="1">
        <f t="shared" ca="1" si="23"/>
        <v>20</v>
      </c>
      <c r="J92" s="1">
        <f t="shared" ca="1" si="22"/>
        <v>20</v>
      </c>
      <c r="K92" s="1">
        <f t="shared" ca="1" si="29"/>
        <v>4</v>
      </c>
      <c r="L92" s="1">
        <f t="shared" ca="1" si="16"/>
        <v>0</v>
      </c>
      <c r="M92" s="1">
        <f ca="1">J92*'Data Considered'!$B$7</f>
        <v>3600</v>
      </c>
      <c r="N92" s="1">
        <f ca="1">IF(A92&gt;'Data Considered'!$B$13,OFFSET(Retailer!M92,-'Data Considered'!$B$13,0),0)</f>
        <v>3600</v>
      </c>
      <c r="O92" s="1">
        <f ca="1">E92*'Data Considered'!$B$8</f>
        <v>2800</v>
      </c>
      <c r="P92" s="1">
        <f ca="1">IF(A92&gt;'Data Considered'!$B$14,OFFSET(Retailer!O92,-'Data Considered'!$B$14,0),0)</f>
        <v>1400</v>
      </c>
      <c r="Q92" s="1">
        <f t="shared" ca="1" si="24"/>
        <v>2000</v>
      </c>
      <c r="R92" s="1">
        <f ca="1">IF(A92=1,'Data Considered'!$B$16,Retailer!R91+Retailer!Q92)</f>
        <v>55565</v>
      </c>
      <c r="S92" s="1">
        <f ca="1">J92*'Data Considered'!$D$7</f>
        <v>200</v>
      </c>
      <c r="T92" s="1">
        <f ca="1">L92*'Data Considered'!$B$20</f>
        <v>0</v>
      </c>
      <c r="U92" s="1">
        <f ca="1">K92*'Data Considered'!$B$24</f>
        <v>160</v>
      </c>
      <c r="V92" s="1">
        <f t="shared" ca="1" si="25"/>
        <v>0</v>
      </c>
      <c r="W92" s="1">
        <f ca="1">V92+'Data Considered'!$B$13-'Data Considered'!$B$14</f>
        <v>-2</v>
      </c>
      <c r="X92" s="1">
        <f t="shared" ca="1" si="26"/>
        <v>1600</v>
      </c>
      <c r="Y92" s="1">
        <f t="shared" ca="1" si="27"/>
        <v>3600</v>
      </c>
    </row>
    <row r="93" spans="1:25" x14ac:dyDescent="0.3">
      <c r="A93" s="1">
        <f t="shared" si="28"/>
        <v>92</v>
      </c>
      <c r="B93" s="1">
        <f>Demand!B93</f>
        <v>29</v>
      </c>
      <c r="C93" s="1">
        <f t="shared" si="14"/>
        <v>28</v>
      </c>
      <c r="D93" s="1">
        <f t="shared" si="15"/>
        <v>84</v>
      </c>
      <c r="E93" s="1">
        <f ca="1">Distributor!J92</f>
        <v>14</v>
      </c>
      <c r="F93" s="1">
        <f ca="1">IF(A93=1,'Data Considered'!$B$5,Retailer!L92+Retailer!E93)</f>
        <v>14</v>
      </c>
      <c r="G93" s="1">
        <f t="shared" ca="1" si="20"/>
        <v>50</v>
      </c>
      <c r="H93" s="1">
        <f t="shared" ca="1" si="21"/>
        <v>34</v>
      </c>
      <c r="I93" s="1">
        <f t="shared" ca="1" si="23"/>
        <v>14</v>
      </c>
      <c r="J93" s="1">
        <f t="shared" ca="1" si="22"/>
        <v>14</v>
      </c>
      <c r="K93" s="1">
        <f t="shared" ca="1" si="29"/>
        <v>15</v>
      </c>
      <c r="L93" s="1">
        <f t="shared" ca="1" si="16"/>
        <v>0</v>
      </c>
      <c r="M93" s="1">
        <f ca="1">J93*'Data Considered'!$B$7</f>
        <v>2520</v>
      </c>
      <c r="N93" s="1">
        <f ca="1">IF(A93&gt;'Data Considered'!$B$13,OFFSET(Retailer!M93,-'Data Considered'!$B$13,0),0)</f>
        <v>2520</v>
      </c>
      <c r="O93" s="1">
        <f ca="1">E93*'Data Considered'!$B$8</f>
        <v>1960</v>
      </c>
      <c r="P93" s="1">
        <f ca="1">IF(A93&gt;'Data Considered'!$B$14,OFFSET(Retailer!O93,-'Data Considered'!$B$14,0),0)</f>
        <v>2800</v>
      </c>
      <c r="Q93" s="1">
        <f t="shared" ca="1" si="24"/>
        <v>-420</v>
      </c>
      <c r="R93" s="1">
        <f ca="1">IF(A93=1,'Data Considered'!$B$16,Retailer!R92+Retailer!Q93)</f>
        <v>55145</v>
      </c>
      <c r="S93" s="1">
        <f ca="1">J93*'Data Considered'!$D$7</f>
        <v>140</v>
      </c>
      <c r="T93" s="1">
        <f ca="1">L93*'Data Considered'!$B$20</f>
        <v>0</v>
      </c>
      <c r="U93" s="1">
        <f ca="1">K93*'Data Considered'!$B$24</f>
        <v>600</v>
      </c>
      <c r="V93" s="1">
        <f t="shared" ca="1" si="25"/>
        <v>0</v>
      </c>
      <c r="W93" s="1">
        <f ca="1">V93+'Data Considered'!$B$13-'Data Considered'!$B$14</f>
        <v>-2</v>
      </c>
      <c r="X93" s="1">
        <f t="shared" ca="1" si="26"/>
        <v>2940</v>
      </c>
      <c r="Y93" s="1">
        <f t="shared" ca="1" si="27"/>
        <v>2520</v>
      </c>
    </row>
    <row r="94" spans="1:25" x14ac:dyDescent="0.3">
      <c r="A94" s="1">
        <f t="shared" si="28"/>
        <v>93</v>
      </c>
      <c r="B94" s="1">
        <f>Demand!B94</f>
        <v>24</v>
      </c>
      <c r="C94" s="1">
        <f t="shared" si="14"/>
        <v>27</v>
      </c>
      <c r="D94" s="1">
        <f t="shared" si="15"/>
        <v>81</v>
      </c>
      <c r="E94" s="1">
        <f ca="1">Distributor!J93</f>
        <v>11</v>
      </c>
      <c r="F94" s="1">
        <f ca="1">IF(A94=1,'Data Considered'!$B$5,Retailer!L93+Retailer!E94)</f>
        <v>11</v>
      </c>
      <c r="G94" s="1">
        <f t="shared" ca="1" si="20"/>
        <v>45</v>
      </c>
      <c r="H94" s="1">
        <f t="shared" ca="1" si="21"/>
        <v>36</v>
      </c>
      <c r="I94" s="1">
        <f t="shared" ca="1" si="23"/>
        <v>11</v>
      </c>
      <c r="J94" s="1">
        <f t="shared" ca="1" si="22"/>
        <v>11</v>
      </c>
      <c r="K94" s="1">
        <f t="shared" ca="1" si="29"/>
        <v>13</v>
      </c>
      <c r="L94" s="1">
        <f t="shared" ca="1" si="16"/>
        <v>0</v>
      </c>
      <c r="M94" s="1">
        <f ca="1">J94*'Data Considered'!$B$7</f>
        <v>1980</v>
      </c>
      <c r="N94" s="1">
        <f ca="1">IF(A94&gt;'Data Considered'!$B$13,OFFSET(Retailer!M94,-'Data Considered'!$B$13,0),0)</f>
        <v>1980</v>
      </c>
      <c r="O94" s="1">
        <f ca="1">E94*'Data Considered'!$B$8</f>
        <v>1540</v>
      </c>
      <c r="P94" s="1">
        <f ca="1">IF(A94&gt;'Data Considered'!$B$14,OFFSET(Retailer!O94,-'Data Considered'!$B$14,0),0)</f>
        <v>2800</v>
      </c>
      <c r="Q94" s="1">
        <f t="shared" ca="1" si="24"/>
        <v>-930</v>
      </c>
      <c r="R94" s="1">
        <f ca="1">IF(A94=1,'Data Considered'!$B$16,Retailer!R93+Retailer!Q94)</f>
        <v>54215</v>
      </c>
      <c r="S94" s="1">
        <f ca="1">J94*'Data Considered'!$D$7</f>
        <v>110</v>
      </c>
      <c r="T94" s="1">
        <f ca="1">L94*'Data Considered'!$B$20</f>
        <v>0</v>
      </c>
      <c r="U94" s="1">
        <f ca="1">K94*'Data Considered'!$B$24</f>
        <v>520</v>
      </c>
      <c r="V94" s="1">
        <f t="shared" ca="1" si="25"/>
        <v>0</v>
      </c>
      <c r="W94" s="1">
        <f ca="1">V94+'Data Considered'!$B$13-'Data Considered'!$B$14</f>
        <v>-2</v>
      </c>
      <c r="X94" s="1">
        <f t="shared" ca="1" si="26"/>
        <v>2910</v>
      </c>
      <c r="Y94" s="1">
        <f t="shared" ca="1" si="27"/>
        <v>1980</v>
      </c>
    </row>
    <row r="95" spans="1:25" x14ac:dyDescent="0.3">
      <c r="A95" s="1">
        <f t="shared" si="28"/>
        <v>94</v>
      </c>
      <c r="B95" s="1">
        <f>Demand!B95</f>
        <v>22</v>
      </c>
      <c r="C95" s="1">
        <f t="shared" si="14"/>
        <v>27</v>
      </c>
      <c r="D95" s="1">
        <f t="shared" si="15"/>
        <v>81</v>
      </c>
      <c r="E95" s="1">
        <f ca="1">Distributor!J94</f>
        <v>34</v>
      </c>
      <c r="F95" s="1">
        <f ca="1">IF(A95=1,'Data Considered'!$B$5,Retailer!L94+Retailer!E95)</f>
        <v>34</v>
      </c>
      <c r="G95" s="1">
        <f t="shared" ca="1" si="20"/>
        <v>70</v>
      </c>
      <c r="H95" s="1">
        <f t="shared" ca="1" si="21"/>
        <v>11</v>
      </c>
      <c r="I95" s="1">
        <f t="shared" ca="1" si="23"/>
        <v>34</v>
      </c>
      <c r="J95" s="1">
        <f t="shared" ca="1" si="22"/>
        <v>22</v>
      </c>
      <c r="K95" s="1">
        <f t="shared" ca="1" si="29"/>
        <v>0</v>
      </c>
      <c r="L95" s="1">
        <f t="shared" ca="1" si="16"/>
        <v>12</v>
      </c>
      <c r="M95" s="1">
        <f ca="1">J95*'Data Considered'!$B$7</f>
        <v>3960</v>
      </c>
      <c r="N95" s="1">
        <f ca="1">IF(A95&gt;'Data Considered'!$B$13,OFFSET(Retailer!M95,-'Data Considered'!$B$13,0),0)</f>
        <v>3960</v>
      </c>
      <c r="O95" s="1">
        <f ca="1">E95*'Data Considered'!$B$8</f>
        <v>4760</v>
      </c>
      <c r="P95" s="1">
        <f ca="1">IF(A95&gt;'Data Considered'!$B$14,OFFSET(Retailer!O95,-'Data Considered'!$B$14,0),0)</f>
        <v>1960</v>
      </c>
      <c r="Q95" s="1">
        <f t="shared" ca="1" si="24"/>
        <v>1600</v>
      </c>
      <c r="R95" s="1">
        <f ca="1">IF(A95=1,'Data Considered'!$B$16,Retailer!R94+Retailer!Q95)</f>
        <v>55815</v>
      </c>
      <c r="S95" s="1">
        <f ca="1">J95*'Data Considered'!$D$7</f>
        <v>220</v>
      </c>
      <c r="T95" s="1">
        <f ca="1">L95*'Data Considered'!$B$20</f>
        <v>180</v>
      </c>
      <c r="U95" s="1">
        <f ca="1">K95*'Data Considered'!$B$24</f>
        <v>0</v>
      </c>
      <c r="V95" s="1">
        <f t="shared" ca="1" si="25"/>
        <v>1</v>
      </c>
      <c r="W95" s="1">
        <f ca="1">V95+'Data Considered'!$B$13-'Data Considered'!$B$14</f>
        <v>-1</v>
      </c>
      <c r="X95" s="1">
        <f t="shared" ca="1" si="26"/>
        <v>2180</v>
      </c>
      <c r="Y95" s="1">
        <f t="shared" ca="1" si="27"/>
        <v>3960</v>
      </c>
    </row>
    <row r="96" spans="1:25" x14ac:dyDescent="0.3">
      <c r="A96" s="1">
        <f t="shared" si="28"/>
        <v>95</v>
      </c>
      <c r="B96" s="1">
        <f>Demand!B96</f>
        <v>19</v>
      </c>
      <c r="C96" s="1">
        <f t="shared" ref="C96:C105" si="30">ROUNDUP(AVERAGE(B94,B95),0)</f>
        <v>23</v>
      </c>
      <c r="D96" s="1">
        <f t="shared" ref="D96:D105" si="31">3*C96</f>
        <v>69</v>
      </c>
      <c r="E96" s="1">
        <f ca="1">Distributor!J95</f>
        <v>36</v>
      </c>
      <c r="F96" s="1">
        <f ca="1">IF(A96=1,'Data Considered'!$B$5,Retailer!L95+Retailer!E96)</f>
        <v>48</v>
      </c>
      <c r="G96" s="1">
        <f t="shared" ca="1" si="20"/>
        <v>59</v>
      </c>
      <c r="H96" s="1">
        <f t="shared" ca="1" si="21"/>
        <v>10</v>
      </c>
      <c r="I96" s="1">
        <f t="shared" ca="1" si="23"/>
        <v>48</v>
      </c>
      <c r="J96" s="1">
        <f t="shared" ca="1" si="22"/>
        <v>19</v>
      </c>
      <c r="K96" s="1">
        <f t="shared" ca="1" si="29"/>
        <v>0</v>
      </c>
      <c r="L96" s="1">
        <f t="shared" ref="L96:L105" ca="1" si="32">I96-J96</f>
        <v>29</v>
      </c>
      <c r="M96" s="1">
        <f ca="1">J96*'Data Considered'!$B$7</f>
        <v>3420</v>
      </c>
      <c r="N96" s="1">
        <f ca="1">IF(A96&gt;'Data Considered'!$B$13,OFFSET(Retailer!M96,-'Data Considered'!$B$13,0),0)</f>
        <v>3420</v>
      </c>
      <c r="O96" s="1">
        <f ca="1">E96*'Data Considered'!$B$8</f>
        <v>5040</v>
      </c>
      <c r="P96" s="1">
        <f ca="1">IF(A96&gt;'Data Considered'!$B$14,OFFSET(Retailer!O96,-'Data Considered'!$B$14,0),0)</f>
        <v>1540</v>
      </c>
      <c r="Q96" s="1">
        <f t="shared" ca="1" si="24"/>
        <v>1255</v>
      </c>
      <c r="R96" s="1">
        <f ca="1">IF(A96=1,'Data Considered'!$B$16,Retailer!R95+Retailer!Q96)</f>
        <v>57070</v>
      </c>
      <c r="S96" s="1">
        <f ca="1">J96*'Data Considered'!$D$7</f>
        <v>190</v>
      </c>
      <c r="T96" s="1">
        <f ca="1">L96*'Data Considered'!$B$20</f>
        <v>435</v>
      </c>
      <c r="U96" s="1">
        <f ca="1">K96*'Data Considered'!$B$24</f>
        <v>0</v>
      </c>
      <c r="V96" s="1">
        <f t="shared" ca="1" si="25"/>
        <v>2</v>
      </c>
      <c r="W96" s="1">
        <f ca="1">V96+'Data Considered'!$B$13-'Data Considered'!$B$14</f>
        <v>0</v>
      </c>
      <c r="X96" s="1">
        <f t="shared" ca="1" si="26"/>
        <v>1730</v>
      </c>
      <c r="Y96" s="1">
        <f t="shared" ca="1" si="27"/>
        <v>3420</v>
      </c>
    </row>
    <row r="97" spans="1:25" x14ac:dyDescent="0.3">
      <c r="A97" s="1">
        <f t="shared" si="28"/>
        <v>96</v>
      </c>
      <c r="B97" s="1">
        <f>Demand!B97</f>
        <v>19</v>
      </c>
      <c r="C97" s="1">
        <f t="shared" si="30"/>
        <v>21</v>
      </c>
      <c r="D97" s="1">
        <f t="shared" si="31"/>
        <v>63</v>
      </c>
      <c r="E97" s="1">
        <f ca="1">Distributor!J96</f>
        <v>11</v>
      </c>
      <c r="F97" s="1">
        <f ca="1">IF(A97=1,'Data Considered'!$B$5,Retailer!L96+Retailer!E97)</f>
        <v>40</v>
      </c>
      <c r="G97" s="1">
        <f t="shared" ca="1" si="20"/>
        <v>50</v>
      </c>
      <c r="H97" s="1">
        <f t="shared" ca="1" si="21"/>
        <v>13</v>
      </c>
      <c r="I97" s="1">
        <f t="shared" ca="1" si="23"/>
        <v>40</v>
      </c>
      <c r="J97" s="1">
        <f t="shared" ca="1" si="22"/>
        <v>19</v>
      </c>
      <c r="K97" s="1">
        <f t="shared" ca="1" si="29"/>
        <v>0</v>
      </c>
      <c r="L97" s="1">
        <f t="shared" ca="1" si="32"/>
        <v>21</v>
      </c>
      <c r="M97" s="1">
        <f ca="1">J97*'Data Considered'!$B$7</f>
        <v>3420</v>
      </c>
      <c r="N97" s="1">
        <f ca="1">IF(A97&gt;'Data Considered'!$B$13,OFFSET(Retailer!M97,-'Data Considered'!$B$13,0),0)</f>
        <v>3420</v>
      </c>
      <c r="O97" s="1">
        <f ca="1">E97*'Data Considered'!$B$8</f>
        <v>1540</v>
      </c>
      <c r="P97" s="1">
        <f ca="1">IF(A97&gt;'Data Considered'!$B$14,OFFSET(Retailer!O97,-'Data Considered'!$B$14,0),0)</f>
        <v>4760</v>
      </c>
      <c r="Q97" s="1">
        <f t="shared" ca="1" si="24"/>
        <v>-1845</v>
      </c>
      <c r="R97" s="1">
        <f ca="1">IF(A97=1,'Data Considered'!$B$16,Retailer!R96+Retailer!Q97)</f>
        <v>55225</v>
      </c>
      <c r="S97" s="1">
        <f ca="1">J97*'Data Considered'!$D$7</f>
        <v>190</v>
      </c>
      <c r="T97" s="1">
        <f ca="1">L97*'Data Considered'!$B$20</f>
        <v>315</v>
      </c>
      <c r="U97" s="1">
        <f ca="1">K97*'Data Considered'!$B$24</f>
        <v>0</v>
      </c>
      <c r="V97" s="1">
        <f t="shared" ca="1" si="25"/>
        <v>2</v>
      </c>
      <c r="W97" s="1">
        <f ca="1">V97+'Data Considered'!$B$13-'Data Considered'!$B$14</f>
        <v>0</v>
      </c>
      <c r="X97" s="1">
        <f t="shared" ca="1" si="26"/>
        <v>4950</v>
      </c>
      <c r="Y97" s="1">
        <f t="shared" ca="1" si="27"/>
        <v>3420</v>
      </c>
    </row>
    <row r="98" spans="1:25" x14ac:dyDescent="0.3">
      <c r="A98" s="1">
        <f t="shared" si="28"/>
        <v>97</v>
      </c>
      <c r="B98" s="1">
        <f>Demand!B98</f>
        <v>25</v>
      </c>
      <c r="C98" s="1">
        <f t="shared" si="30"/>
        <v>19</v>
      </c>
      <c r="D98" s="1">
        <f t="shared" si="31"/>
        <v>57</v>
      </c>
      <c r="E98" s="1">
        <f ca="1">Distributor!J97</f>
        <v>10</v>
      </c>
      <c r="F98" s="1">
        <f ca="1">IF(A98=1,'Data Considered'!$B$5,Retailer!L97+Retailer!E98)</f>
        <v>31</v>
      </c>
      <c r="G98" s="1">
        <f t="shared" ref="G98:G105" ca="1" si="33">F98+IF(A98&gt;1,H97,0)</f>
        <v>44</v>
      </c>
      <c r="H98" s="1">
        <f t="shared" ref="H98:H105" ca="1" si="34">IF(D98&gt;G98,D98-G98,0)</f>
        <v>13</v>
      </c>
      <c r="I98" s="1">
        <f t="shared" ca="1" si="23"/>
        <v>31</v>
      </c>
      <c r="J98" s="1">
        <f t="shared" ref="J98:J105" ca="1" si="35">MIN(I98,B98)</f>
        <v>25</v>
      </c>
      <c r="K98" s="1">
        <f t="shared" ca="1" si="29"/>
        <v>0</v>
      </c>
      <c r="L98" s="1">
        <f t="shared" ca="1" si="32"/>
        <v>6</v>
      </c>
      <c r="M98" s="1">
        <f ca="1">J98*'Data Considered'!$B$7</f>
        <v>4500</v>
      </c>
      <c r="N98" s="1">
        <f ca="1">IF(A98&gt;'Data Considered'!$B$13,OFFSET(Retailer!M98,-'Data Considered'!$B$13,0),0)</f>
        <v>4500</v>
      </c>
      <c r="O98" s="1">
        <f ca="1">E98*'Data Considered'!$B$8</f>
        <v>1400</v>
      </c>
      <c r="P98" s="1">
        <f ca="1">IF(A98&gt;'Data Considered'!$B$14,OFFSET(Retailer!O98,-'Data Considered'!$B$14,0),0)</f>
        <v>5040</v>
      </c>
      <c r="Q98" s="1">
        <f t="shared" ca="1" si="24"/>
        <v>-880</v>
      </c>
      <c r="R98" s="1">
        <f ca="1">IF(A98=1,'Data Considered'!$B$16,Retailer!R97+Retailer!Q98)</f>
        <v>54345</v>
      </c>
      <c r="S98" s="1">
        <f ca="1">J98*'Data Considered'!$D$7</f>
        <v>250</v>
      </c>
      <c r="T98" s="1">
        <f ca="1">L98*'Data Considered'!$B$20</f>
        <v>90</v>
      </c>
      <c r="U98" s="1">
        <f ca="1">K98*'Data Considered'!$B$24</f>
        <v>0</v>
      </c>
      <c r="V98" s="1">
        <f t="shared" ca="1" si="25"/>
        <v>1</v>
      </c>
      <c r="W98" s="1">
        <f ca="1">V98+'Data Considered'!$B$13-'Data Considered'!$B$14</f>
        <v>-1</v>
      </c>
      <c r="X98" s="1">
        <f t="shared" ca="1" si="26"/>
        <v>5290</v>
      </c>
      <c r="Y98" s="1">
        <f t="shared" ca="1" si="27"/>
        <v>4500</v>
      </c>
    </row>
    <row r="99" spans="1:25" x14ac:dyDescent="0.3">
      <c r="A99" s="1">
        <f t="shared" si="28"/>
        <v>98</v>
      </c>
      <c r="B99" s="1">
        <f>Demand!B99</f>
        <v>21</v>
      </c>
      <c r="C99" s="1">
        <f t="shared" si="30"/>
        <v>22</v>
      </c>
      <c r="D99" s="1">
        <f t="shared" si="31"/>
        <v>66</v>
      </c>
      <c r="E99" s="1">
        <f ca="1">Distributor!J98</f>
        <v>13</v>
      </c>
      <c r="F99" s="1">
        <f ca="1">IF(A99=1,'Data Considered'!$B$5,Retailer!L98+Retailer!E99)</f>
        <v>19</v>
      </c>
      <c r="G99" s="1">
        <f t="shared" ca="1" si="33"/>
        <v>32</v>
      </c>
      <c r="H99" s="1">
        <f t="shared" ca="1" si="34"/>
        <v>34</v>
      </c>
      <c r="I99" s="1">
        <f t="shared" ca="1" si="23"/>
        <v>19</v>
      </c>
      <c r="J99" s="1">
        <f t="shared" ca="1" si="35"/>
        <v>19</v>
      </c>
      <c r="K99" s="1">
        <f t="shared" ca="1" si="29"/>
        <v>2</v>
      </c>
      <c r="L99" s="1">
        <f t="shared" ca="1" si="32"/>
        <v>0</v>
      </c>
      <c r="M99" s="1">
        <f ca="1">J99*'Data Considered'!$B$7</f>
        <v>3420</v>
      </c>
      <c r="N99" s="1">
        <f ca="1">IF(A99&gt;'Data Considered'!$B$13,OFFSET(Retailer!M99,-'Data Considered'!$B$13,0),0)</f>
        <v>3420</v>
      </c>
      <c r="O99" s="1">
        <f ca="1">E99*'Data Considered'!$B$8</f>
        <v>1820</v>
      </c>
      <c r="P99" s="1">
        <f ca="1">IF(A99&gt;'Data Considered'!$B$14,OFFSET(Retailer!O99,-'Data Considered'!$B$14,0),0)</f>
        <v>1540</v>
      </c>
      <c r="Q99" s="1">
        <f t="shared" ca="1" si="24"/>
        <v>1690</v>
      </c>
      <c r="R99" s="1">
        <f ca="1">IF(A99=1,'Data Considered'!$B$16,Retailer!R98+Retailer!Q99)</f>
        <v>56035</v>
      </c>
      <c r="S99" s="1">
        <f ca="1">J99*'Data Considered'!$D$7</f>
        <v>190</v>
      </c>
      <c r="T99" s="1">
        <f ca="1">L99*'Data Considered'!$B$20</f>
        <v>0</v>
      </c>
      <c r="U99" s="1">
        <f ca="1">K99*'Data Considered'!$B$24</f>
        <v>80</v>
      </c>
      <c r="V99" s="1">
        <f t="shared" ca="1" si="25"/>
        <v>0</v>
      </c>
      <c r="W99" s="1">
        <f ca="1">V99+'Data Considered'!$B$13-'Data Considered'!$B$14</f>
        <v>-2</v>
      </c>
      <c r="X99" s="1">
        <f t="shared" ca="1" si="26"/>
        <v>1730</v>
      </c>
      <c r="Y99" s="1">
        <f t="shared" ca="1" si="27"/>
        <v>3420</v>
      </c>
    </row>
    <row r="100" spans="1:25" x14ac:dyDescent="0.3">
      <c r="A100" s="1">
        <f t="shared" si="28"/>
        <v>99</v>
      </c>
      <c r="B100" s="1">
        <f>Demand!B100</f>
        <v>26</v>
      </c>
      <c r="C100" s="1">
        <f t="shared" si="30"/>
        <v>23</v>
      </c>
      <c r="D100" s="1">
        <f t="shared" si="31"/>
        <v>69</v>
      </c>
      <c r="E100" s="1">
        <f ca="1">Distributor!J99</f>
        <v>13</v>
      </c>
      <c r="F100" s="1">
        <f ca="1">IF(A100=1,'Data Considered'!$B$5,Retailer!L99+Retailer!E100)</f>
        <v>13</v>
      </c>
      <c r="G100" s="1">
        <f t="shared" ca="1" si="33"/>
        <v>47</v>
      </c>
      <c r="H100" s="1">
        <f t="shared" ca="1" si="34"/>
        <v>22</v>
      </c>
      <c r="I100" s="1">
        <f t="shared" ca="1" si="23"/>
        <v>13</v>
      </c>
      <c r="J100" s="1">
        <f t="shared" ca="1" si="35"/>
        <v>13</v>
      </c>
      <c r="K100" s="1">
        <f t="shared" ca="1" si="29"/>
        <v>13</v>
      </c>
      <c r="L100" s="1">
        <f t="shared" ca="1" si="32"/>
        <v>0</v>
      </c>
      <c r="M100" s="1">
        <f ca="1">J100*'Data Considered'!$B$7</f>
        <v>2340</v>
      </c>
      <c r="N100" s="1">
        <f ca="1">IF(A100&gt;'Data Considered'!$B$13,OFFSET(Retailer!M100,-'Data Considered'!$B$13,0),0)</f>
        <v>2340</v>
      </c>
      <c r="O100" s="1">
        <f ca="1">E100*'Data Considered'!$B$8</f>
        <v>1820</v>
      </c>
      <c r="P100" s="1">
        <f ca="1">IF(A100&gt;'Data Considered'!$B$14,OFFSET(Retailer!O100,-'Data Considered'!$B$14,0),0)</f>
        <v>1400</v>
      </c>
      <c r="Q100" s="1">
        <f t="shared" ca="1" si="24"/>
        <v>810</v>
      </c>
      <c r="R100" s="1">
        <f ca="1">IF(A100=1,'Data Considered'!$B$16,Retailer!R99+Retailer!Q100)</f>
        <v>56845</v>
      </c>
      <c r="S100" s="1">
        <f ca="1">J100*'Data Considered'!$D$7</f>
        <v>130</v>
      </c>
      <c r="T100" s="1">
        <f ca="1">L100*'Data Considered'!$B$20</f>
        <v>0</v>
      </c>
      <c r="U100" s="1">
        <f ca="1">K100*'Data Considered'!$B$24</f>
        <v>520</v>
      </c>
      <c r="V100" s="1">
        <f t="shared" ca="1" si="25"/>
        <v>0</v>
      </c>
      <c r="W100" s="1">
        <f ca="1">V100+'Data Considered'!$B$13-'Data Considered'!$B$14</f>
        <v>-2</v>
      </c>
      <c r="X100" s="1">
        <f t="shared" ca="1" si="26"/>
        <v>1530</v>
      </c>
      <c r="Y100" s="1">
        <f t="shared" ca="1" si="27"/>
        <v>2340</v>
      </c>
    </row>
    <row r="101" spans="1:25" x14ac:dyDescent="0.3">
      <c r="A101" s="1">
        <f t="shared" si="28"/>
        <v>100</v>
      </c>
      <c r="B101" s="1">
        <f>Demand!B101</f>
        <v>15</v>
      </c>
      <c r="C101" s="1">
        <f t="shared" si="30"/>
        <v>24</v>
      </c>
      <c r="D101" s="1">
        <f t="shared" si="31"/>
        <v>72</v>
      </c>
      <c r="E101" s="1">
        <f ca="1">Distributor!J100</f>
        <v>34</v>
      </c>
      <c r="F101" s="1">
        <f ca="1">IF(A101=1,'Data Considered'!$B$5,Retailer!L100+Retailer!E101)</f>
        <v>34</v>
      </c>
      <c r="G101" s="1">
        <f t="shared" ca="1" si="33"/>
        <v>56</v>
      </c>
      <c r="H101" s="1">
        <f t="shared" ca="1" si="34"/>
        <v>16</v>
      </c>
      <c r="I101" s="1">
        <f t="shared" ca="1" si="23"/>
        <v>34</v>
      </c>
      <c r="J101" s="1">
        <f t="shared" ca="1" si="35"/>
        <v>15</v>
      </c>
      <c r="K101" s="1">
        <f t="shared" ca="1" si="29"/>
        <v>0</v>
      </c>
      <c r="L101" s="1">
        <f t="shared" ca="1" si="32"/>
        <v>19</v>
      </c>
      <c r="M101" s="1">
        <f ca="1">J101*'Data Considered'!$B$7</f>
        <v>2700</v>
      </c>
      <c r="N101" s="1">
        <f ca="1">IF(A101&gt;'Data Considered'!$B$13,OFFSET(Retailer!M101,-'Data Considered'!$B$13,0),0)</f>
        <v>2700</v>
      </c>
      <c r="O101" s="1">
        <f ca="1">E101*'Data Considered'!$B$8</f>
        <v>4760</v>
      </c>
      <c r="P101" s="1">
        <f ca="1">IF(A101&gt;'Data Considered'!$B$14,OFFSET(Retailer!O101,-'Data Considered'!$B$14,0),0)</f>
        <v>1820</v>
      </c>
      <c r="Q101" s="1">
        <f t="shared" ca="1" si="24"/>
        <v>445</v>
      </c>
      <c r="R101" s="1">
        <f ca="1">IF(A101=1,'Data Considered'!$B$16,Retailer!R100+Retailer!Q101)</f>
        <v>57290</v>
      </c>
      <c r="S101" s="1">
        <f ca="1">J101*'Data Considered'!$D$7</f>
        <v>150</v>
      </c>
      <c r="T101" s="1">
        <f ca="1">L101*'Data Considered'!$B$20</f>
        <v>285</v>
      </c>
      <c r="U101" s="1">
        <f ca="1">K101*'Data Considered'!$B$24</f>
        <v>0</v>
      </c>
      <c r="V101" s="1">
        <f t="shared" ca="1" si="25"/>
        <v>1</v>
      </c>
      <c r="W101" s="1">
        <f ca="1">V101+'Data Considered'!$B$13-'Data Considered'!$B$14</f>
        <v>-1</v>
      </c>
      <c r="X101" s="1">
        <f t="shared" ca="1" si="26"/>
        <v>1970</v>
      </c>
      <c r="Y101" s="1">
        <f t="shared" ca="1" si="27"/>
        <v>2700</v>
      </c>
    </row>
    <row r="102" spans="1:25" x14ac:dyDescent="0.3">
      <c r="A102" s="1">
        <f t="shared" si="28"/>
        <v>101</v>
      </c>
      <c r="B102" s="1">
        <f>Demand!B102</f>
        <v>17</v>
      </c>
      <c r="C102" s="1">
        <f t="shared" si="30"/>
        <v>21</v>
      </c>
      <c r="D102" s="1">
        <f t="shared" si="31"/>
        <v>63</v>
      </c>
      <c r="E102" s="1">
        <f ca="1">Distributor!J101</f>
        <v>22</v>
      </c>
      <c r="F102" s="1">
        <f ca="1">IF(A102=1,'Data Considered'!$B$5,Retailer!L101+Retailer!E102)</f>
        <v>41</v>
      </c>
      <c r="G102" s="1">
        <f t="shared" ca="1" si="33"/>
        <v>57</v>
      </c>
      <c r="H102" s="1">
        <f t="shared" ca="1" si="34"/>
        <v>6</v>
      </c>
      <c r="I102" s="1">
        <f t="shared" ca="1" si="23"/>
        <v>41</v>
      </c>
      <c r="J102" s="1">
        <f t="shared" ca="1" si="35"/>
        <v>17</v>
      </c>
      <c r="K102" s="1">
        <f t="shared" ca="1" si="29"/>
        <v>0</v>
      </c>
      <c r="L102" s="1">
        <f t="shared" ca="1" si="32"/>
        <v>24</v>
      </c>
      <c r="M102" s="1">
        <f ca="1">J102*'Data Considered'!$B$7</f>
        <v>3060</v>
      </c>
      <c r="N102" s="1">
        <f ca="1">IF(A102&gt;'Data Considered'!$B$13,OFFSET(Retailer!M102,-'Data Considered'!$B$13,0),0)</f>
        <v>3060</v>
      </c>
      <c r="O102" s="1">
        <f ca="1">E102*'Data Considered'!$B$8</f>
        <v>3080</v>
      </c>
      <c r="P102" s="1">
        <f ca="1">IF(A102&gt;'Data Considered'!$B$14,OFFSET(Retailer!O102,-'Data Considered'!$B$14,0),0)</f>
        <v>1820</v>
      </c>
      <c r="Q102" s="1">
        <f t="shared" ca="1" si="24"/>
        <v>710</v>
      </c>
      <c r="R102" s="1">
        <f ca="1">IF(A102=1,'Data Considered'!$B$16,Retailer!R101+Retailer!Q102)</f>
        <v>58000</v>
      </c>
      <c r="S102" s="1">
        <f ca="1">J102*'Data Considered'!$D$7</f>
        <v>170</v>
      </c>
      <c r="T102" s="1">
        <f ca="1">L102*'Data Considered'!$B$20</f>
        <v>360</v>
      </c>
      <c r="U102" s="1">
        <f ca="1">K102*'Data Considered'!$B$24</f>
        <v>0</v>
      </c>
      <c r="V102" s="1">
        <f t="shared" ca="1" si="25"/>
        <v>2</v>
      </c>
      <c r="W102" s="1">
        <f ca="1">V102+'Data Considered'!$B$13-'Data Considered'!$B$14</f>
        <v>0</v>
      </c>
      <c r="X102" s="1">
        <f t="shared" ca="1" si="26"/>
        <v>1990</v>
      </c>
      <c r="Y102" s="1">
        <f t="shared" ca="1" si="27"/>
        <v>3060</v>
      </c>
    </row>
    <row r="103" spans="1:25" x14ac:dyDescent="0.3">
      <c r="A103" s="1">
        <f t="shared" si="28"/>
        <v>102</v>
      </c>
      <c r="B103" s="1">
        <f>Demand!B103</f>
        <v>32</v>
      </c>
      <c r="C103" s="1">
        <f t="shared" si="30"/>
        <v>16</v>
      </c>
      <c r="D103" s="1">
        <f t="shared" si="31"/>
        <v>48</v>
      </c>
      <c r="E103" s="1">
        <f ca="1">Distributor!J102</f>
        <v>2</v>
      </c>
      <c r="F103" s="1">
        <f ca="1">IF(A103=1,'Data Considered'!$B$5,Retailer!L102+Retailer!E103)</f>
        <v>26</v>
      </c>
      <c r="G103" s="1">
        <f t="shared" ca="1" si="33"/>
        <v>32</v>
      </c>
      <c r="H103" s="1">
        <f t="shared" ca="1" si="34"/>
        <v>16</v>
      </c>
      <c r="I103" s="1">
        <f t="shared" ca="1" si="23"/>
        <v>26</v>
      </c>
      <c r="J103" s="1">
        <f t="shared" ca="1" si="35"/>
        <v>26</v>
      </c>
      <c r="K103" s="1">
        <f t="shared" ca="1" si="29"/>
        <v>6</v>
      </c>
      <c r="L103" s="1">
        <f t="shared" ca="1" si="32"/>
        <v>0</v>
      </c>
      <c r="M103" s="1">
        <f ca="1">J103*'Data Considered'!$B$7</f>
        <v>4680</v>
      </c>
      <c r="N103" s="1">
        <f ca="1">IF(A103&gt;'Data Considered'!$B$13,OFFSET(Retailer!M103,-'Data Considered'!$B$13,0),0)</f>
        <v>4680</v>
      </c>
      <c r="O103" s="1">
        <f ca="1">E103*'Data Considered'!$B$8</f>
        <v>280</v>
      </c>
      <c r="P103" s="1">
        <f ca="1">IF(A103&gt;'Data Considered'!$B$14,OFFSET(Retailer!O103,-'Data Considered'!$B$14,0),0)</f>
        <v>4760</v>
      </c>
      <c r="Q103" s="1">
        <f t="shared" ca="1" si="24"/>
        <v>-340</v>
      </c>
      <c r="R103" s="1">
        <f ca="1">IF(A103=1,'Data Considered'!$B$16,Retailer!R102+Retailer!Q103)</f>
        <v>57660</v>
      </c>
      <c r="S103" s="1">
        <f ca="1">J103*'Data Considered'!$D$7</f>
        <v>260</v>
      </c>
      <c r="T103" s="1">
        <f ca="1">L103*'Data Considered'!$B$20</f>
        <v>0</v>
      </c>
      <c r="U103" s="1">
        <f ca="1">K103*'Data Considered'!$B$24</f>
        <v>240</v>
      </c>
      <c r="V103" s="1">
        <f t="shared" ca="1" si="25"/>
        <v>0</v>
      </c>
      <c r="W103" s="1">
        <f ca="1">V103+'Data Considered'!$B$13-'Data Considered'!$B$14</f>
        <v>-2</v>
      </c>
      <c r="X103" s="1">
        <f t="shared" ca="1" si="26"/>
        <v>5020</v>
      </c>
      <c r="Y103" s="1">
        <f t="shared" ca="1" si="27"/>
        <v>4680</v>
      </c>
    </row>
    <row r="104" spans="1:25" x14ac:dyDescent="0.3">
      <c r="A104" s="1">
        <f t="shared" si="28"/>
        <v>103</v>
      </c>
      <c r="B104" s="1">
        <f>Demand!B104</f>
        <v>22</v>
      </c>
      <c r="C104" s="1">
        <f t="shared" si="30"/>
        <v>25</v>
      </c>
      <c r="D104" s="1">
        <f t="shared" si="31"/>
        <v>75</v>
      </c>
      <c r="E104" s="1">
        <f ca="1">Distributor!J103</f>
        <v>6</v>
      </c>
      <c r="F104" s="1">
        <f ca="1">IF(A104=1,'Data Considered'!$B$5,Retailer!L103+Retailer!E104)</f>
        <v>6</v>
      </c>
      <c r="G104" s="1">
        <f t="shared" ca="1" si="33"/>
        <v>22</v>
      </c>
      <c r="H104" s="1">
        <f t="shared" ca="1" si="34"/>
        <v>53</v>
      </c>
      <c r="I104" s="1">
        <f t="shared" ca="1" si="23"/>
        <v>6</v>
      </c>
      <c r="J104" s="1">
        <f t="shared" ca="1" si="35"/>
        <v>6</v>
      </c>
      <c r="K104" s="1">
        <f t="shared" ca="1" si="29"/>
        <v>16</v>
      </c>
      <c r="L104" s="1">
        <f t="shared" ca="1" si="32"/>
        <v>0</v>
      </c>
      <c r="M104" s="1">
        <f ca="1">J104*'Data Considered'!$B$7</f>
        <v>1080</v>
      </c>
      <c r="N104" s="1">
        <f ca="1">IF(A104&gt;'Data Considered'!$B$13,OFFSET(Retailer!M104,-'Data Considered'!$B$13,0),0)</f>
        <v>1080</v>
      </c>
      <c r="O104" s="1">
        <f ca="1">E104*'Data Considered'!$B$8</f>
        <v>840</v>
      </c>
      <c r="P104" s="1">
        <f ca="1">IF(A104&gt;'Data Considered'!$B$14,OFFSET(Retailer!O104,-'Data Considered'!$B$14,0),0)</f>
        <v>3080</v>
      </c>
      <c r="Q104" s="1">
        <f t="shared" ca="1" si="24"/>
        <v>-2060</v>
      </c>
      <c r="R104" s="1">
        <f ca="1">IF(A104=1,'Data Considered'!$B$16,Retailer!R103+Retailer!Q104)</f>
        <v>55600</v>
      </c>
      <c r="S104" s="1">
        <f ca="1">J104*'Data Considered'!$D$7</f>
        <v>60</v>
      </c>
      <c r="T104" s="1">
        <f ca="1">L104*'Data Considered'!$B$20</f>
        <v>0</v>
      </c>
      <c r="U104" s="1">
        <f ca="1">K104*'Data Considered'!$B$24</f>
        <v>640</v>
      </c>
      <c r="V104" s="1">
        <f t="shared" ca="1" si="25"/>
        <v>0</v>
      </c>
      <c r="W104" s="1">
        <f ca="1">V104+'Data Considered'!$B$13-'Data Considered'!$B$14</f>
        <v>-2</v>
      </c>
      <c r="X104" s="1">
        <f t="shared" ca="1" si="26"/>
        <v>3140</v>
      </c>
      <c r="Y104" s="1">
        <f t="shared" ca="1" si="27"/>
        <v>1080</v>
      </c>
    </row>
    <row r="105" spans="1:25" x14ac:dyDescent="0.3">
      <c r="A105" s="1">
        <f t="shared" si="28"/>
        <v>104</v>
      </c>
      <c r="B105" s="1">
        <f>Demand!B105</f>
        <v>24</v>
      </c>
      <c r="C105" s="1">
        <f t="shared" si="30"/>
        <v>27</v>
      </c>
      <c r="D105" s="1">
        <f t="shared" si="31"/>
        <v>81</v>
      </c>
      <c r="E105" s="1">
        <f ca="1">Distributor!J104</f>
        <v>16</v>
      </c>
      <c r="F105" s="1">
        <f ca="1">IF(A105=1,'Data Considered'!$B$5,Retailer!L104+Retailer!E105)</f>
        <v>16</v>
      </c>
      <c r="G105" s="1">
        <f t="shared" ca="1" si="33"/>
        <v>69</v>
      </c>
      <c r="H105" s="1">
        <f t="shared" ca="1" si="34"/>
        <v>12</v>
      </c>
      <c r="I105" s="1">
        <f t="shared" ca="1" si="23"/>
        <v>16</v>
      </c>
      <c r="J105" s="1">
        <f t="shared" ca="1" si="35"/>
        <v>16</v>
      </c>
      <c r="K105" s="1">
        <f t="shared" ca="1" si="29"/>
        <v>8</v>
      </c>
      <c r="L105" s="1">
        <f t="shared" ca="1" si="32"/>
        <v>0</v>
      </c>
      <c r="M105" s="1">
        <f ca="1">J105*'Data Considered'!$B$7</f>
        <v>2880</v>
      </c>
      <c r="N105" s="1">
        <f ca="1">IF(A105&gt;'Data Considered'!$B$13,OFFSET(Retailer!M105,-'Data Considered'!$B$13,0),0)</f>
        <v>2880</v>
      </c>
      <c r="O105" s="1">
        <f ca="1">E105*'Data Considered'!$B$8</f>
        <v>2240</v>
      </c>
      <c r="P105" s="1">
        <f ca="1">IF(A105&gt;'Data Considered'!$B$14,OFFSET(Retailer!O105,-'Data Considered'!$B$14,0),0)</f>
        <v>280</v>
      </c>
      <c r="Q105" s="1">
        <f t="shared" ca="1" si="24"/>
        <v>2440</v>
      </c>
      <c r="R105" s="1">
        <f ca="1">IF(A105=1,'Data Considered'!$B$16,Retailer!R104+Retailer!Q105)</f>
        <v>58040</v>
      </c>
      <c r="S105" s="1">
        <f ca="1">J105*'Data Considered'!$D$7</f>
        <v>160</v>
      </c>
      <c r="T105" s="1">
        <f ca="1">L105*'Data Considered'!$B$20</f>
        <v>0</v>
      </c>
      <c r="U105" s="1">
        <f ca="1">K105*'Data Considered'!$B$24</f>
        <v>320</v>
      </c>
      <c r="V105" s="1">
        <f t="shared" ca="1" si="25"/>
        <v>0</v>
      </c>
      <c r="W105" s="1">
        <f ca="1">V105+'Data Considered'!$B$13-'Data Considered'!$B$14</f>
        <v>-2</v>
      </c>
      <c r="X105" s="1">
        <f t="shared" ca="1" si="26"/>
        <v>440</v>
      </c>
      <c r="Y105" s="1">
        <f t="shared" ca="1" si="27"/>
        <v>2880</v>
      </c>
    </row>
    <row r="107" spans="1:25" x14ac:dyDescent="0.3">
      <c r="B107" s="50" t="s">
        <v>44</v>
      </c>
    </row>
    <row r="108" spans="1:25" x14ac:dyDescent="0.3">
      <c r="B108" s="1">
        <f>AVERAGE(B2:B105)</f>
        <v>20.471153846153847</v>
      </c>
    </row>
    <row r="110" spans="1:25" x14ac:dyDescent="0.3">
      <c r="B110" s="50" t="s">
        <v>61</v>
      </c>
      <c r="H110" s="50" t="s">
        <v>62</v>
      </c>
    </row>
    <row r="111" spans="1:25" x14ac:dyDescent="0.3">
      <c r="B111" s="1">
        <f>_xlfn.VAR.S(B2:B105)</f>
        <v>26.504014189693795</v>
      </c>
      <c r="H111" s="1">
        <f ca="1">_xlfn.VAR.S(H2:H105)</f>
        <v>164.36734503360717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45E7-AD76-48B7-AD8C-0B817D62556B}">
  <dimension ref="A1:Y111"/>
  <sheetViews>
    <sheetView topLeftCell="H1" zoomScale="85" zoomScaleNormal="85" workbookViewId="0">
      <selection activeCell="H1" sqref="H1"/>
    </sheetView>
  </sheetViews>
  <sheetFormatPr defaultRowHeight="14.4" x14ac:dyDescent="0.3"/>
  <cols>
    <col min="1" max="1" width="8" style="1" customWidth="1"/>
    <col min="2" max="2" width="11.5546875" style="1" customWidth="1"/>
    <col min="3" max="3" width="11.21875" style="1" customWidth="1"/>
    <col min="4" max="4" width="6.6640625" style="1" customWidth="1"/>
    <col min="5" max="5" width="10.5546875" style="1" customWidth="1"/>
    <col min="6" max="6" width="13.21875" style="1" customWidth="1"/>
    <col min="7" max="7" width="11.21875" style="1" customWidth="1"/>
    <col min="8" max="8" width="15.33203125" style="1" customWidth="1"/>
    <col min="9" max="9" width="11.21875" style="1" customWidth="1"/>
    <col min="10" max="10" width="10.33203125" style="1" customWidth="1"/>
    <col min="11" max="11" width="8" style="1" customWidth="1"/>
    <col min="12" max="12" width="11.33203125" style="1" customWidth="1"/>
    <col min="13" max="13" width="12" style="1" customWidth="1"/>
    <col min="14" max="14" width="14.5546875" style="1" customWidth="1"/>
    <col min="15" max="15" width="10.44140625" style="1" customWidth="1"/>
    <col min="16" max="16" width="16" style="1" customWidth="1"/>
    <col min="17" max="17" width="8.88671875" style="1"/>
    <col min="18" max="19" width="10.33203125" style="1" customWidth="1"/>
    <col min="20" max="20" width="11.44140625" style="1" customWidth="1"/>
    <col min="21" max="21" width="10.109375" style="1" customWidth="1"/>
    <col min="22" max="22" width="11.88671875" style="1" customWidth="1"/>
    <col min="23" max="23" width="10.88671875" style="1" customWidth="1"/>
    <col min="24" max="24" width="10.33203125" style="1" customWidth="1"/>
    <col min="25" max="25" width="12.33203125" style="1" customWidth="1"/>
    <col min="26" max="16384" width="8.88671875" style="1"/>
  </cols>
  <sheetData>
    <row r="1" spans="1:25" s="55" customFormat="1" ht="58.2" customHeight="1" x14ac:dyDescent="0.3">
      <c r="A1" s="55" t="s">
        <v>4</v>
      </c>
      <c r="B1" s="55" t="s">
        <v>24</v>
      </c>
      <c r="C1" s="55" t="s">
        <v>6</v>
      </c>
      <c r="D1" s="55" t="s">
        <v>7</v>
      </c>
      <c r="E1" s="55" t="s">
        <v>8</v>
      </c>
      <c r="F1" s="55" t="s">
        <v>9</v>
      </c>
      <c r="G1" s="55" t="s">
        <v>10</v>
      </c>
      <c r="H1" s="55" t="s">
        <v>25</v>
      </c>
      <c r="I1" s="55" t="s">
        <v>12</v>
      </c>
      <c r="J1" s="55" t="s">
        <v>26</v>
      </c>
      <c r="K1" s="55" t="s">
        <v>14</v>
      </c>
      <c r="L1" s="55" t="s">
        <v>15</v>
      </c>
      <c r="M1" s="55" t="s">
        <v>27</v>
      </c>
      <c r="N1" s="55" t="s">
        <v>17</v>
      </c>
      <c r="O1" s="55" t="s">
        <v>18</v>
      </c>
      <c r="P1" s="55" t="s">
        <v>28</v>
      </c>
      <c r="Q1" s="55" t="s">
        <v>20</v>
      </c>
      <c r="R1" s="55" t="s">
        <v>21</v>
      </c>
      <c r="S1" s="55" t="s">
        <v>95</v>
      </c>
      <c r="T1" s="55" t="s">
        <v>22</v>
      </c>
      <c r="U1" s="55" t="s">
        <v>23</v>
      </c>
      <c r="V1" s="55" t="s">
        <v>39</v>
      </c>
      <c r="W1" s="55" t="s">
        <v>40</v>
      </c>
      <c r="X1" s="55" t="s">
        <v>43</v>
      </c>
      <c r="Y1" s="55" t="s">
        <v>42</v>
      </c>
    </row>
    <row r="2" spans="1:25" x14ac:dyDescent="0.3">
      <c r="A2" s="1">
        <v>1</v>
      </c>
      <c r="B2" s="1">
        <v>0</v>
      </c>
      <c r="C2" s="1">
        <v>20</v>
      </c>
      <c r="D2" s="1">
        <f>3*C2</f>
        <v>60</v>
      </c>
      <c r="E2" s="1">
        <f>0</f>
        <v>0</v>
      </c>
      <c r="F2" s="1">
        <f>IF(A2=1,'Data Considered'!$B$5,Distributor!L1+Distributor!E2)</f>
        <v>80</v>
      </c>
      <c r="G2" s="1">
        <f t="shared" ref="G2:G33" si="0">F2+IF(A2&gt;1,H1,0)</f>
        <v>80</v>
      </c>
      <c r="H2" s="1">
        <f t="shared" ref="H2:H33" si="1">IF(D2&gt;G2,D2-G2,0)</f>
        <v>0</v>
      </c>
      <c r="I2" s="1">
        <f>F2</f>
        <v>80</v>
      </c>
      <c r="J2" s="1">
        <f>MIN(I2,B2)</f>
        <v>0</v>
      </c>
      <c r="K2" s="1">
        <f t="shared" ref="K2:K33" si="2">B2-J2</f>
        <v>0</v>
      </c>
      <c r="L2" s="1">
        <f>I2-J2</f>
        <v>80</v>
      </c>
      <c r="M2" s="1">
        <f>J2*'Data Considered'!$B$9</f>
        <v>0</v>
      </c>
      <c r="N2" s="1">
        <f ca="1">Retailer!P2</f>
        <v>0</v>
      </c>
      <c r="O2" s="1">
        <f>E2*'Data Considered'!$B$10</f>
        <v>0</v>
      </c>
      <c r="P2" s="1">
        <f ca="1">IF(A2&gt;'Data Considered'!$B$15,OFFSET(Distributor!O2,-'Data Considered'!$B$15,0),0)</f>
        <v>0</v>
      </c>
      <c r="Q2" s="1">
        <f ca="1">N2-P2-T2-S2</f>
        <v>-800</v>
      </c>
      <c r="R2" s="1">
        <f>IF(A2=1,'Data Considered'!$B$17,Distributor!R1+Distributor!Q2)</f>
        <v>30000</v>
      </c>
      <c r="S2" s="1">
        <f>J2*'Data Considered'!$D$9</f>
        <v>0</v>
      </c>
      <c r="T2" s="1">
        <f>L2*'Data Considered'!$B$21</f>
        <v>800</v>
      </c>
      <c r="U2" s="1">
        <f>K2*'Data Considered'!$B$25</f>
        <v>0</v>
      </c>
      <c r="V2" s="1">
        <f ca="1">ROUNDUP(L2/$B$108,0)</f>
        <v>5</v>
      </c>
      <c r="W2" s="1">
        <f ca="1">V2+'Data Considered'!$B$14-'Data Considered'!$B$15</f>
        <v>5</v>
      </c>
      <c r="X2" s="1">
        <f ca="1">IF(A2&gt;2,OFFSET(O2,-2,0),0)+S2</f>
        <v>0</v>
      </c>
      <c r="Y2" s="1">
        <f ca="1">IF(A2&gt;2,OFFSET(M2,-2,0),0)</f>
        <v>0</v>
      </c>
    </row>
    <row r="3" spans="1:25" x14ac:dyDescent="0.3">
      <c r="A3" s="1">
        <f>A2+1</f>
        <v>2</v>
      </c>
      <c r="B3" s="1">
        <f>Retailer!H2</f>
        <v>0</v>
      </c>
      <c r="C3" s="1">
        <f>B2</f>
        <v>0</v>
      </c>
      <c r="D3" s="1">
        <f t="shared" ref="D3:D31" si="3">3*C3</f>
        <v>0</v>
      </c>
      <c r="E3" s="1">
        <f>Manufacturer!J2</f>
        <v>0</v>
      </c>
      <c r="F3" s="1">
        <f>IF(A3=1,'Data Considered'!$B$5,Distributor!L2+Distributor!E3)</f>
        <v>80</v>
      </c>
      <c r="G3" s="1">
        <f t="shared" si="0"/>
        <v>80</v>
      </c>
      <c r="H3" s="1">
        <f t="shared" si="1"/>
        <v>0</v>
      </c>
      <c r="I3" s="1">
        <f t="shared" ref="I3:I66" si="4">F3</f>
        <v>80</v>
      </c>
      <c r="J3" s="1">
        <f>MIN(I3,B3)</f>
        <v>0</v>
      </c>
      <c r="K3" s="1">
        <f t="shared" si="2"/>
        <v>0</v>
      </c>
      <c r="L3" s="1">
        <f t="shared" ref="L3:L31" si="5">I3-J3</f>
        <v>80</v>
      </c>
      <c r="M3" s="1">
        <f>J3*'Data Considered'!$B$9</f>
        <v>0</v>
      </c>
      <c r="N3" s="1">
        <f ca="1">Retailer!P3</f>
        <v>0</v>
      </c>
      <c r="O3" s="1">
        <f>E3*'Data Considered'!$B$10</f>
        <v>0</v>
      </c>
      <c r="P3" s="1">
        <f ca="1">IF(A3&gt;'Data Considered'!$B$15,OFFSET(Distributor!O3,-'Data Considered'!$B$15,0),0)</f>
        <v>0</v>
      </c>
      <c r="Q3" s="1">
        <f t="shared" ref="Q3:Q66" ca="1" si="6">N3-P3-T3-S3</f>
        <v>-800</v>
      </c>
      <c r="R3" s="1">
        <f ca="1">IF(A3=1,'Data Considered'!$B$17,Distributor!R2+Distributor!Q3)</f>
        <v>29200</v>
      </c>
      <c r="S3" s="1">
        <f>J3*'Data Considered'!$D$9</f>
        <v>0</v>
      </c>
      <c r="T3" s="1">
        <f>L3*'Data Considered'!$B$21</f>
        <v>800</v>
      </c>
      <c r="U3" s="1">
        <f>K3*'Data Considered'!$B$25</f>
        <v>0</v>
      </c>
      <c r="V3" s="1">
        <f t="shared" ref="V3:V66" ca="1" si="7">ROUNDUP(L3/$B$108,0)</f>
        <v>5</v>
      </c>
      <c r="W3" s="1">
        <f ca="1">V3+'Data Considered'!$B$14-'Data Considered'!$B$15</f>
        <v>5</v>
      </c>
      <c r="X3" s="1">
        <f t="shared" ref="X3:X66" ca="1" si="8">IF(A3&gt;2,OFFSET(O3,-2,0),0)+S3</f>
        <v>0</v>
      </c>
      <c r="Y3" s="1">
        <f t="shared" ref="Y3:Y66" ca="1" si="9">IF(A3&gt;2,OFFSET(M3,-2,0),0)</f>
        <v>0</v>
      </c>
    </row>
    <row r="4" spans="1:25" x14ac:dyDescent="0.3">
      <c r="A4" s="1">
        <f t="shared" ref="A4:A67" si="10">A3+1</f>
        <v>3</v>
      </c>
      <c r="B4" s="1">
        <f>Retailer!H3</f>
        <v>20</v>
      </c>
      <c r="C4" s="1">
        <f>ROUNDUP(AVERAGE(Distributor!B2,Distributor!B3),0)</f>
        <v>0</v>
      </c>
      <c r="D4" s="1">
        <f t="shared" si="3"/>
        <v>0</v>
      </c>
      <c r="E4" s="1">
        <f ca="1">Manufacturer!J3</f>
        <v>0</v>
      </c>
      <c r="F4" s="1">
        <f ca="1">IF(A4=1,'Data Considered'!$B$5,Distributor!L3+Distributor!E4)</f>
        <v>80</v>
      </c>
      <c r="G4" s="1">
        <f t="shared" ca="1" si="0"/>
        <v>80</v>
      </c>
      <c r="H4" s="1">
        <f t="shared" ca="1" si="1"/>
        <v>0</v>
      </c>
      <c r="I4" s="1">
        <f t="shared" ca="1" si="4"/>
        <v>80</v>
      </c>
      <c r="J4" s="1">
        <f t="shared" ref="J4:J67" ca="1" si="11">MIN(I4,B4)</f>
        <v>20</v>
      </c>
      <c r="K4" s="1">
        <f t="shared" ca="1" si="2"/>
        <v>0</v>
      </c>
      <c r="L4" s="1">
        <f t="shared" ca="1" si="5"/>
        <v>60</v>
      </c>
      <c r="M4" s="1">
        <f ca="1">J4*'Data Considered'!$B$9</f>
        <v>2800</v>
      </c>
      <c r="N4" s="1">
        <f ca="1">Retailer!P4</f>
        <v>0</v>
      </c>
      <c r="O4" s="1">
        <f ca="1">E4*'Data Considered'!$B$10</f>
        <v>0</v>
      </c>
      <c r="P4" s="1">
        <f ca="1">IF(A4&gt;'Data Considered'!$B$15,OFFSET(Distributor!O4,-'Data Considered'!$B$15,0),0)</f>
        <v>0</v>
      </c>
      <c r="Q4" s="1">
        <f t="shared" ca="1" si="6"/>
        <v>-740</v>
      </c>
      <c r="R4" s="1">
        <f ca="1">IF(A4=1,'Data Considered'!$B$17,Distributor!R3+Distributor!Q4)</f>
        <v>28460</v>
      </c>
      <c r="S4" s="1">
        <f ca="1">J4*'Data Considered'!$D$9</f>
        <v>140</v>
      </c>
      <c r="T4" s="1">
        <f ca="1">L4*'Data Considered'!$B$21</f>
        <v>600</v>
      </c>
      <c r="U4" s="1">
        <f ca="1">K4*'Data Considered'!$B$25</f>
        <v>0</v>
      </c>
      <c r="V4" s="1">
        <f t="shared" ca="1" si="7"/>
        <v>4</v>
      </c>
      <c r="W4" s="1">
        <f ca="1">V4+'Data Considered'!$B$14-'Data Considered'!$B$15</f>
        <v>4</v>
      </c>
      <c r="X4" s="1">
        <f t="shared" ca="1" si="8"/>
        <v>140</v>
      </c>
      <c r="Y4" s="1">
        <f t="shared" ca="1" si="9"/>
        <v>0</v>
      </c>
    </row>
    <row r="5" spans="1:25" x14ac:dyDescent="0.3">
      <c r="A5" s="1">
        <f t="shared" si="10"/>
        <v>4</v>
      </c>
      <c r="B5" s="1">
        <f>Retailer!H4</f>
        <v>24</v>
      </c>
      <c r="C5" s="1">
        <f>ROUNDUP(AVERAGE(Distributor!B3,Distributor!B4),0)</f>
        <v>10</v>
      </c>
      <c r="D5" s="1">
        <f t="shared" si="3"/>
        <v>30</v>
      </c>
      <c r="E5" s="1">
        <f ca="1">Manufacturer!J4</f>
        <v>0</v>
      </c>
      <c r="F5" s="1">
        <f ca="1">IF(A5=1,'Data Considered'!$B$5,Distributor!L4+Distributor!E5)</f>
        <v>60</v>
      </c>
      <c r="G5" s="1">
        <f t="shared" ca="1" si="0"/>
        <v>60</v>
      </c>
      <c r="H5" s="1">
        <f t="shared" ca="1" si="1"/>
        <v>0</v>
      </c>
      <c r="I5" s="1">
        <f t="shared" ca="1" si="4"/>
        <v>60</v>
      </c>
      <c r="J5" s="1">
        <f t="shared" ca="1" si="11"/>
        <v>24</v>
      </c>
      <c r="K5" s="1">
        <f t="shared" ca="1" si="2"/>
        <v>0</v>
      </c>
      <c r="L5" s="1">
        <f t="shared" ca="1" si="5"/>
        <v>36</v>
      </c>
      <c r="M5" s="1">
        <f ca="1">J5*'Data Considered'!$B$9</f>
        <v>3360</v>
      </c>
      <c r="N5" s="1">
        <f ca="1">Retailer!P5</f>
        <v>0</v>
      </c>
      <c r="O5" s="1">
        <f ca="1">E5*'Data Considered'!$B$10</f>
        <v>0</v>
      </c>
      <c r="P5" s="1">
        <f ca="1">IF(A5&gt;'Data Considered'!$B$15,OFFSET(Distributor!O5,-'Data Considered'!$B$15,0),0)</f>
        <v>0</v>
      </c>
      <c r="Q5" s="1">
        <f t="shared" ca="1" si="6"/>
        <v>-528</v>
      </c>
      <c r="R5" s="1">
        <f ca="1">IF(A5=1,'Data Considered'!$B$17,Distributor!R4+Distributor!Q5)</f>
        <v>27932</v>
      </c>
      <c r="S5" s="1">
        <f ca="1">J5*'Data Considered'!$D$9</f>
        <v>168</v>
      </c>
      <c r="T5" s="1">
        <f ca="1">L5*'Data Considered'!$B$21</f>
        <v>360</v>
      </c>
      <c r="U5" s="1">
        <f ca="1">K5*'Data Considered'!$B$25</f>
        <v>0</v>
      </c>
      <c r="V5" s="1">
        <f t="shared" ca="1" si="7"/>
        <v>2</v>
      </c>
      <c r="W5" s="1">
        <f ca="1">V5+'Data Considered'!$B$14-'Data Considered'!$B$15</f>
        <v>2</v>
      </c>
      <c r="X5" s="1">
        <f t="shared" ca="1" si="8"/>
        <v>168</v>
      </c>
      <c r="Y5" s="1">
        <f t="shared" ca="1" si="9"/>
        <v>0</v>
      </c>
    </row>
    <row r="6" spans="1:25" x14ac:dyDescent="0.3">
      <c r="A6" s="1">
        <f t="shared" si="10"/>
        <v>5</v>
      </c>
      <c r="B6" s="1">
        <f ca="1">Retailer!H5</f>
        <v>0</v>
      </c>
      <c r="C6" s="1">
        <f>ROUNDUP(AVERAGE(Distributor!B4,Distributor!B5),0)</f>
        <v>22</v>
      </c>
      <c r="D6" s="1">
        <f t="shared" si="3"/>
        <v>66</v>
      </c>
      <c r="E6" s="1">
        <f ca="1">Manufacturer!J5</f>
        <v>0</v>
      </c>
      <c r="F6" s="1">
        <f ca="1">IF(A6=1,'Data Considered'!$B$5,Distributor!L5+Distributor!E6)</f>
        <v>36</v>
      </c>
      <c r="G6" s="1">
        <f t="shared" ca="1" si="0"/>
        <v>36</v>
      </c>
      <c r="H6" s="1">
        <f t="shared" ca="1" si="1"/>
        <v>30</v>
      </c>
      <c r="I6" s="1">
        <f t="shared" ca="1" si="4"/>
        <v>36</v>
      </c>
      <c r="J6" s="1">
        <f t="shared" ca="1" si="11"/>
        <v>0</v>
      </c>
      <c r="K6" s="1">
        <f t="shared" ca="1" si="2"/>
        <v>0</v>
      </c>
      <c r="L6" s="1">
        <f t="shared" ca="1" si="5"/>
        <v>36</v>
      </c>
      <c r="M6" s="1">
        <f ca="1">J6*'Data Considered'!$B$9</f>
        <v>0</v>
      </c>
      <c r="N6" s="1">
        <f ca="1">Retailer!P6</f>
        <v>0</v>
      </c>
      <c r="O6" s="1">
        <f ca="1">E6*'Data Considered'!$B$10</f>
        <v>0</v>
      </c>
      <c r="P6" s="1">
        <f ca="1">IF(A6&gt;'Data Considered'!$B$15,OFFSET(Distributor!O6,-'Data Considered'!$B$15,0),0)</f>
        <v>0</v>
      </c>
      <c r="Q6" s="1">
        <f t="shared" ca="1" si="6"/>
        <v>-360</v>
      </c>
      <c r="R6" s="1">
        <f ca="1">IF(A6=1,'Data Considered'!$B$17,Distributor!R5+Distributor!Q6)</f>
        <v>27572</v>
      </c>
      <c r="S6" s="1">
        <f ca="1">J6*'Data Considered'!$D$9</f>
        <v>0</v>
      </c>
      <c r="T6" s="1">
        <f ca="1">L6*'Data Considered'!$B$21</f>
        <v>360</v>
      </c>
      <c r="U6" s="1">
        <f ca="1">K6*'Data Considered'!$B$25</f>
        <v>0</v>
      </c>
      <c r="V6" s="1">
        <f t="shared" ca="1" si="7"/>
        <v>2</v>
      </c>
      <c r="W6" s="1">
        <f ca="1">V6+'Data Considered'!$B$14-'Data Considered'!$B$15</f>
        <v>2</v>
      </c>
      <c r="X6" s="1">
        <f t="shared" ca="1" si="8"/>
        <v>0</v>
      </c>
      <c r="Y6" s="1">
        <f t="shared" ca="1" si="9"/>
        <v>2800</v>
      </c>
    </row>
    <row r="7" spans="1:25" x14ac:dyDescent="0.3">
      <c r="A7" s="1">
        <f t="shared" si="10"/>
        <v>6</v>
      </c>
      <c r="B7" s="1">
        <f ca="1">Retailer!H6</f>
        <v>15</v>
      </c>
      <c r="C7" s="1">
        <f ca="1">ROUNDUP(AVERAGE(Distributor!B5,Distributor!B6),0)</f>
        <v>12</v>
      </c>
      <c r="D7" s="1">
        <f t="shared" ca="1" si="3"/>
        <v>36</v>
      </c>
      <c r="E7" s="1">
        <f ca="1">Manufacturer!J6</f>
        <v>0</v>
      </c>
      <c r="F7" s="1">
        <f ca="1">IF(A7=1,'Data Considered'!$B$5,Distributor!L6+Distributor!E7)</f>
        <v>36</v>
      </c>
      <c r="G7" s="1">
        <f t="shared" ca="1" si="0"/>
        <v>66</v>
      </c>
      <c r="H7" s="1">
        <f t="shared" ca="1" si="1"/>
        <v>0</v>
      </c>
      <c r="I7" s="1">
        <f t="shared" ca="1" si="4"/>
        <v>36</v>
      </c>
      <c r="J7" s="1">
        <f t="shared" ca="1" si="11"/>
        <v>15</v>
      </c>
      <c r="K7" s="1">
        <f t="shared" ca="1" si="2"/>
        <v>0</v>
      </c>
      <c r="L7" s="1">
        <f t="shared" ca="1" si="5"/>
        <v>21</v>
      </c>
      <c r="M7" s="1">
        <f ca="1">J7*'Data Considered'!$B$9</f>
        <v>2100</v>
      </c>
      <c r="N7" s="1">
        <f ca="1">Retailer!P7</f>
        <v>2800</v>
      </c>
      <c r="O7" s="1">
        <f ca="1">E7*'Data Considered'!$B$10</f>
        <v>0</v>
      </c>
      <c r="P7" s="1">
        <f ca="1">IF(A7&gt;'Data Considered'!$B$15,OFFSET(Distributor!O7,-'Data Considered'!$B$15,0),0)</f>
        <v>0</v>
      </c>
      <c r="Q7" s="1">
        <f t="shared" ca="1" si="6"/>
        <v>2485</v>
      </c>
      <c r="R7" s="1">
        <f ca="1">IF(A7=1,'Data Considered'!$B$17,Distributor!R6+Distributor!Q7)</f>
        <v>30057</v>
      </c>
      <c r="S7" s="1">
        <f ca="1">J7*'Data Considered'!$D$9</f>
        <v>105</v>
      </c>
      <c r="T7" s="1">
        <f ca="1">L7*'Data Considered'!$B$21</f>
        <v>210</v>
      </c>
      <c r="U7" s="1">
        <f ca="1">K7*'Data Considered'!$B$25</f>
        <v>0</v>
      </c>
      <c r="V7" s="1">
        <f t="shared" ca="1" si="7"/>
        <v>2</v>
      </c>
      <c r="W7" s="1">
        <f ca="1">V7+'Data Considered'!$B$14-'Data Considered'!$B$15</f>
        <v>2</v>
      </c>
      <c r="X7" s="1">
        <f t="shared" ca="1" si="8"/>
        <v>105</v>
      </c>
      <c r="Y7" s="1">
        <f t="shared" ca="1" si="9"/>
        <v>3360</v>
      </c>
    </row>
    <row r="8" spans="1:25" x14ac:dyDescent="0.3">
      <c r="A8" s="1">
        <f t="shared" si="10"/>
        <v>7</v>
      </c>
      <c r="B8" s="1">
        <f ca="1">Retailer!H7</f>
        <v>44</v>
      </c>
      <c r="C8" s="1">
        <f ca="1">ROUNDUP(AVERAGE(Distributor!B6,Distributor!B7),0)</f>
        <v>8</v>
      </c>
      <c r="D8" s="1">
        <f t="shared" ca="1" si="3"/>
        <v>24</v>
      </c>
      <c r="E8" s="1">
        <f ca="1">Manufacturer!J7</f>
        <v>30</v>
      </c>
      <c r="F8" s="1">
        <f ca="1">IF(A8=1,'Data Considered'!$B$5,Distributor!L7+Distributor!E8)</f>
        <v>51</v>
      </c>
      <c r="G8" s="1">
        <f t="shared" ca="1" si="0"/>
        <v>51</v>
      </c>
      <c r="H8" s="1">
        <f t="shared" ca="1" si="1"/>
        <v>0</v>
      </c>
      <c r="I8" s="1">
        <f t="shared" ca="1" si="4"/>
        <v>51</v>
      </c>
      <c r="J8" s="1">
        <f t="shared" ca="1" si="11"/>
        <v>44</v>
      </c>
      <c r="K8" s="1">
        <f t="shared" ca="1" si="2"/>
        <v>0</v>
      </c>
      <c r="L8" s="1">
        <f t="shared" ca="1" si="5"/>
        <v>7</v>
      </c>
      <c r="M8" s="1">
        <f ca="1">J8*'Data Considered'!$B$9</f>
        <v>6160</v>
      </c>
      <c r="N8" s="1">
        <f ca="1">Retailer!P8</f>
        <v>3360</v>
      </c>
      <c r="O8" s="1">
        <f ca="1">E8*'Data Considered'!$B$10</f>
        <v>3000</v>
      </c>
      <c r="P8" s="1">
        <f ca="1">IF(A8&gt;'Data Considered'!$B$15,OFFSET(Distributor!O8,-'Data Considered'!$B$15,0),0)</f>
        <v>0</v>
      </c>
      <c r="Q8" s="1">
        <f t="shared" ca="1" si="6"/>
        <v>2982</v>
      </c>
      <c r="R8" s="1">
        <f ca="1">IF(A8=1,'Data Considered'!$B$17,Distributor!R7+Distributor!Q8)</f>
        <v>33039</v>
      </c>
      <c r="S8" s="1">
        <f ca="1">J8*'Data Considered'!$D$9</f>
        <v>308</v>
      </c>
      <c r="T8" s="1">
        <f ca="1">L8*'Data Considered'!$B$21</f>
        <v>70</v>
      </c>
      <c r="U8" s="1">
        <f ca="1">K8*'Data Considered'!$B$25</f>
        <v>0</v>
      </c>
      <c r="V8" s="1">
        <f t="shared" ca="1" si="7"/>
        <v>1</v>
      </c>
      <c r="W8" s="1">
        <f ca="1">V8+'Data Considered'!$B$14-'Data Considered'!$B$15</f>
        <v>1</v>
      </c>
      <c r="X8" s="1">
        <f t="shared" ca="1" si="8"/>
        <v>308</v>
      </c>
      <c r="Y8" s="1">
        <f t="shared" ca="1" si="9"/>
        <v>0</v>
      </c>
    </row>
    <row r="9" spans="1:25" x14ac:dyDescent="0.3">
      <c r="A9" s="1">
        <f t="shared" si="10"/>
        <v>8</v>
      </c>
      <c r="B9" s="1">
        <f ca="1">Retailer!H8</f>
        <v>16</v>
      </c>
      <c r="C9" s="1">
        <f ca="1">ROUNDUP(AVERAGE(Distributor!B7,Distributor!B8),0)</f>
        <v>30</v>
      </c>
      <c r="D9" s="1">
        <f t="shared" ca="1" si="3"/>
        <v>90</v>
      </c>
      <c r="E9" s="1">
        <f ca="1">Manufacturer!J8</f>
        <v>0</v>
      </c>
      <c r="F9" s="1">
        <f ca="1">IF(A9=1,'Data Considered'!$B$5,Distributor!L8+Distributor!E9)</f>
        <v>7</v>
      </c>
      <c r="G9" s="1">
        <f t="shared" ca="1" si="0"/>
        <v>7</v>
      </c>
      <c r="H9" s="1">
        <f t="shared" ca="1" si="1"/>
        <v>83</v>
      </c>
      <c r="I9" s="1">
        <f t="shared" ca="1" si="4"/>
        <v>7</v>
      </c>
      <c r="J9" s="1">
        <f t="shared" ca="1" si="11"/>
        <v>7</v>
      </c>
      <c r="K9" s="1">
        <f t="shared" ca="1" si="2"/>
        <v>9</v>
      </c>
      <c r="L9" s="1">
        <f t="shared" ca="1" si="5"/>
        <v>0</v>
      </c>
      <c r="M9" s="1">
        <f ca="1">J9*'Data Considered'!$B$9</f>
        <v>980</v>
      </c>
      <c r="N9" s="1">
        <f ca="1">Retailer!P9</f>
        <v>0</v>
      </c>
      <c r="O9" s="1">
        <f ca="1">E9*'Data Considered'!$B$10</f>
        <v>0</v>
      </c>
      <c r="P9" s="1">
        <f ca="1">IF(A9&gt;'Data Considered'!$B$15,OFFSET(Distributor!O9,-'Data Considered'!$B$15,0),0)</f>
        <v>0</v>
      </c>
      <c r="Q9" s="1">
        <f t="shared" ca="1" si="6"/>
        <v>-49</v>
      </c>
      <c r="R9" s="1">
        <f ca="1">IF(A9=1,'Data Considered'!$B$17,Distributor!R8+Distributor!Q9)</f>
        <v>32990</v>
      </c>
      <c r="S9" s="1">
        <f ca="1">J9*'Data Considered'!$D$9</f>
        <v>49</v>
      </c>
      <c r="T9" s="1">
        <f ca="1">L9*'Data Considered'!$B$21</f>
        <v>0</v>
      </c>
      <c r="U9" s="1">
        <f ca="1">K9*'Data Considered'!$B$25</f>
        <v>270</v>
      </c>
      <c r="V9" s="1">
        <f t="shared" ca="1" si="7"/>
        <v>0</v>
      </c>
      <c r="W9" s="1">
        <f ca="1">V9+'Data Considered'!$B$14-'Data Considered'!$B$15</f>
        <v>0</v>
      </c>
      <c r="X9" s="1">
        <f t="shared" ca="1" si="8"/>
        <v>49</v>
      </c>
      <c r="Y9" s="1">
        <f t="shared" ca="1" si="9"/>
        <v>2100</v>
      </c>
    </row>
    <row r="10" spans="1:25" x14ac:dyDescent="0.3">
      <c r="A10" s="1">
        <f t="shared" si="10"/>
        <v>9</v>
      </c>
      <c r="B10" s="1">
        <f ca="1">Retailer!H9</f>
        <v>15</v>
      </c>
      <c r="C10" s="1">
        <f ca="1">ROUNDUP(AVERAGE(Distributor!B8,Distributor!B9),0)</f>
        <v>30</v>
      </c>
      <c r="D10" s="1">
        <f t="shared" ca="1" si="3"/>
        <v>90</v>
      </c>
      <c r="E10" s="1">
        <f ca="1">Manufacturer!J9</f>
        <v>0</v>
      </c>
      <c r="F10" s="1">
        <f ca="1">IF(A10=1,'Data Considered'!$B$5,Distributor!L9+Distributor!E10)</f>
        <v>0</v>
      </c>
      <c r="G10" s="1">
        <f t="shared" ca="1" si="0"/>
        <v>83</v>
      </c>
      <c r="H10" s="1">
        <f t="shared" ca="1" si="1"/>
        <v>7</v>
      </c>
      <c r="I10" s="1">
        <f t="shared" ca="1" si="4"/>
        <v>0</v>
      </c>
      <c r="J10" s="1">
        <f t="shared" ca="1" si="11"/>
        <v>0</v>
      </c>
      <c r="K10" s="1">
        <f t="shared" ca="1" si="2"/>
        <v>15</v>
      </c>
      <c r="L10" s="1">
        <f t="shared" ca="1" si="5"/>
        <v>0</v>
      </c>
      <c r="M10" s="1">
        <f ca="1">J10*'Data Considered'!$B$9</f>
        <v>0</v>
      </c>
      <c r="N10" s="1">
        <f ca="1">Retailer!P10</f>
        <v>2100</v>
      </c>
      <c r="O10" s="1">
        <f ca="1">E10*'Data Considered'!$B$10</f>
        <v>0</v>
      </c>
      <c r="P10" s="1">
        <f ca="1">IF(A10&gt;'Data Considered'!$B$15,OFFSET(Distributor!O10,-'Data Considered'!$B$15,0),0)</f>
        <v>3000</v>
      </c>
      <c r="Q10" s="1">
        <f t="shared" ca="1" si="6"/>
        <v>-900</v>
      </c>
      <c r="R10" s="1">
        <f ca="1">IF(A10=1,'Data Considered'!$B$17,Distributor!R9+Distributor!Q10)</f>
        <v>32090</v>
      </c>
      <c r="S10" s="1">
        <f ca="1">J10*'Data Considered'!$D$9</f>
        <v>0</v>
      </c>
      <c r="T10" s="1">
        <f ca="1">L10*'Data Considered'!$B$21</f>
        <v>0</v>
      </c>
      <c r="U10" s="1">
        <f ca="1">K10*'Data Considered'!$B$25</f>
        <v>450</v>
      </c>
      <c r="V10" s="1">
        <f t="shared" ca="1" si="7"/>
        <v>0</v>
      </c>
      <c r="W10" s="1">
        <f ca="1">V10+'Data Considered'!$B$14-'Data Considered'!$B$15</f>
        <v>0</v>
      </c>
      <c r="X10" s="1">
        <f t="shared" ca="1" si="8"/>
        <v>3000</v>
      </c>
      <c r="Y10" s="1">
        <f t="shared" ca="1" si="9"/>
        <v>6160</v>
      </c>
    </row>
    <row r="11" spans="1:25" x14ac:dyDescent="0.3">
      <c r="A11" s="1">
        <f t="shared" si="10"/>
        <v>10</v>
      </c>
      <c r="B11" s="1">
        <f ca="1">Retailer!H10</f>
        <v>0</v>
      </c>
      <c r="C11" s="1">
        <f ca="1">ROUNDUP(AVERAGE(Distributor!B9,Distributor!B10),0)</f>
        <v>16</v>
      </c>
      <c r="D11" s="1">
        <f t="shared" ca="1" si="3"/>
        <v>48</v>
      </c>
      <c r="E11" s="1">
        <f ca="1">Manufacturer!J10</f>
        <v>50</v>
      </c>
      <c r="F11" s="1">
        <f ca="1">IF(A11=1,'Data Considered'!$B$5,Distributor!L10+Distributor!E11)</f>
        <v>50</v>
      </c>
      <c r="G11" s="1">
        <f t="shared" ca="1" si="0"/>
        <v>57</v>
      </c>
      <c r="H11" s="1">
        <f t="shared" ca="1" si="1"/>
        <v>0</v>
      </c>
      <c r="I11" s="1">
        <f t="shared" ca="1" si="4"/>
        <v>50</v>
      </c>
      <c r="J11" s="1">
        <f t="shared" ca="1" si="11"/>
        <v>0</v>
      </c>
      <c r="K11" s="1">
        <f t="shared" ca="1" si="2"/>
        <v>0</v>
      </c>
      <c r="L11" s="1">
        <f t="shared" ca="1" si="5"/>
        <v>50</v>
      </c>
      <c r="M11" s="1">
        <f ca="1">J11*'Data Considered'!$B$9</f>
        <v>0</v>
      </c>
      <c r="N11" s="1">
        <f ca="1">Retailer!P11</f>
        <v>6160</v>
      </c>
      <c r="O11" s="1">
        <f ca="1">E11*'Data Considered'!$B$10</f>
        <v>5000</v>
      </c>
      <c r="P11" s="1">
        <f ca="1">IF(A11&gt;'Data Considered'!$B$15,OFFSET(Distributor!O11,-'Data Considered'!$B$15,0),0)</f>
        <v>0</v>
      </c>
      <c r="Q11" s="1">
        <f t="shared" ca="1" si="6"/>
        <v>5660</v>
      </c>
      <c r="R11" s="1">
        <f ca="1">IF(A11=1,'Data Considered'!$B$17,Distributor!R10+Distributor!Q11)</f>
        <v>37750</v>
      </c>
      <c r="S11" s="1">
        <f ca="1">J11*'Data Considered'!$D$9</f>
        <v>0</v>
      </c>
      <c r="T11" s="1">
        <f ca="1">L11*'Data Considered'!$B$21</f>
        <v>500</v>
      </c>
      <c r="U11" s="1">
        <f ca="1">K11*'Data Considered'!$B$25</f>
        <v>0</v>
      </c>
      <c r="V11" s="1">
        <f t="shared" ca="1" si="7"/>
        <v>3</v>
      </c>
      <c r="W11" s="1">
        <f ca="1">V11+'Data Considered'!$B$14-'Data Considered'!$B$15</f>
        <v>3</v>
      </c>
      <c r="X11" s="1">
        <f t="shared" ca="1" si="8"/>
        <v>0</v>
      </c>
      <c r="Y11" s="1">
        <f t="shared" ca="1" si="9"/>
        <v>980</v>
      </c>
    </row>
    <row r="12" spans="1:25" x14ac:dyDescent="0.3">
      <c r="A12" s="1">
        <f t="shared" si="10"/>
        <v>11</v>
      </c>
      <c r="B12" s="1">
        <f ca="1">Retailer!H11</f>
        <v>18</v>
      </c>
      <c r="C12" s="1">
        <f ca="1">ROUNDUP(AVERAGE(Distributor!B10,Distributor!B11),0)</f>
        <v>8</v>
      </c>
      <c r="D12" s="1">
        <f t="shared" ca="1" si="3"/>
        <v>24</v>
      </c>
      <c r="E12" s="1">
        <f ca="1">Manufacturer!J11</f>
        <v>0</v>
      </c>
      <c r="F12" s="1">
        <f ca="1">IF(A12=1,'Data Considered'!$B$5,Distributor!L11+Distributor!E12)</f>
        <v>50</v>
      </c>
      <c r="G12" s="1">
        <f t="shared" ca="1" si="0"/>
        <v>50</v>
      </c>
      <c r="H12" s="1">
        <f t="shared" ca="1" si="1"/>
        <v>0</v>
      </c>
      <c r="I12" s="1">
        <f t="shared" ca="1" si="4"/>
        <v>50</v>
      </c>
      <c r="J12" s="1">
        <f t="shared" ca="1" si="11"/>
        <v>18</v>
      </c>
      <c r="K12" s="1">
        <f t="shared" ca="1" si="2"/>
        <v>0</v>
      </c>
      <c r="L12" s="1">
        <f t="shared" ca="1" si="5"/>
        <v>32</v>
      </c>
      <c r="M12" s="1">
        <f ca="1">J12*'Data Considered'!$B$9</f>
        <v>2520</v>
      </c>
      <c r="N12" s="1">
        <f ca="1">Retailer!P12</f>
        <v>980</v>
      </c>
      <c r="O12" s="1">
        <f ca="1">E12*'Data Considered'!$B$10</f>
        <v>0</v>
      </c>
      <c r="P12" s="1">
        <f ca="1">IF(A12&gt;'Data Considered'!$B$15,OFFSET(Distributor!O12,-'Data Considered'!$B$15,0),0)</f>
        <v>0</v>
      </c>
      <c r="Q12" s="1">
        <f t="shared" ca="1" si="6"/>
        <v>534</v>
      </c>
      <c r="R12" s="1">
        <f ca="1">IF(A12=1,'Data Considered'!$B$17,Distributor!R11+Distributor!Q12)</f>
        <v>38284</v>
      </c>
      <c r="S12" s="1">
        <f ca="1">J12*'Data Considered'!$D$9</f>
        <v>126</v>
      </c>
      <c r="T12" s="1">
        <f ca="1">L12*'Data Considered'!$B$21</f>
        <v>320</v>
      </c>
      <c r="U12" s="1">
        <f ca="1">K12*'Data Considered'!$B$25</f>
        <v>0</v>
      </c>
      <c r="V12" s="1">
        <f t="shared" ca="1" si="7"/>
        <v>2</v>
      </c>
      <c r="W12" s="1">
        <f ca="1">V12+'Data Considered'!$B$14-'Data Considered'!$B$15</f>
        <v>2</v>
      </c>
      <c r="X12" s="1">
        <f t="shared" ca="1" si="8"/>
        <v>126</v>
      </c>
      <c r="Y12" s="1">
        <f t="shared" ca="1" si="9"/>
        <v>0</v>
      </c>
    </row>
    <row r="13" spans="1:25" x14ac:dyDescent="0.3">
      <c r="A13" s="1">
        <f t="shared" si="10"/>
        <v>12</v>
      </c>
      <c r="B13" s="1">
        <f ca="1">Retailer!H12</f>
        <v>40</v>
      </c>
      <c r="C13" s="1">
        <f ca="1">ROUNDUP(AVERAGE(Distributor!B11,Distributor!B12),0)</f>
        <v>9</v>
      </c>
      <c r="D13" s="1">
        <f t="shared" ca="1" si="3"/>
        <v>27</v>
      </c>
      <c r="E13" s="1">
        <f ca="1">Manufacturer!J12</f>
        <v>0</v>
      </c>
      <c r="F13" s="1">
        <f ca="1">IF(A13=1,'Data Considered'!$B$5,Distributor!L12+Distributor!E13)</f>
        <v>32</v>
      </c>
      <c r="G13" s="1">
        <f t="shared" ca="1" si="0"/>
        <v>32</v>
      </c>
      <c r="H13" s="1">
        <f t="shared" ca="1" si="1"/>
        <v>0</v>
      </c>
      <c r="I13" s="1">
        <f t="shared" ca="1" si="4"/>
        <v>32</v>
      </c>
      <c r="J13" s="1">
        <f t="shared" ca="1" si="11"/>
        <v>32</v>
      </c>
      <c r="K13" s="1">
        <f t="shared" ca="1" si="2"/>
        <v>8</v>
      </c>
      <c r="L13" s="1">
        <f t="shared" ca="1" si="5"/>
        <v>0</v>
      </c>
      <c r="M13" s="1">
        <f ca="1">J13*'Data Considered'!$B$9</f>
        <v>4480</v>
      </c>
      <c r="N13" s="1">
        <f ca="1">Retailer!P13</f>
        <v>0</v>
      </c>
      <c r="O13" s="1">
        <f ca="1">E13*'Data Considered'!$B$10</f>
        <v>0</v>
      </c>
      <c r="P13" s="1">
        <f ca="1">IF(A13&gt;'Data Considered'!$B$15,OFFSET(Distributor!O13,-'Data Considered'!$B$15,0),0)</f>
        <v>5000</v>
      </c>
      <c r="Q13" s="1">
        <f t="shared" ca="1" si="6"/>
        <v>-5224</v>
      </c>
      <c r="R13" s="1">
        <f ca="1">IF(A13=1,'Data Considered'!$B$17,Distributor!R12+Distributor!Q13)</f>
        <v>33060</v>
      </c>
      <c r="S13" s="1">
        <f ca="1">J13*'Data Considered'!$D$9</f>
        <v>224</v>
      </c>
      <c r="T13" s="1">
        <f ca="1">L13*'Data Considered'!$B$21</f>
        <v>0</v>
      </c>
      <c r="U13" s="1">
        <f ca="1">K13*'Data Considered'!$B$25</f>
        <v>240</v>
      </c>
      <c r="V13" s="1">
        <f t="shared" ca="1" si="7"/>
        <v>0</v>
      </c>
      <c r="W13" s="1">
        <f ca="1">V13+'Data Considered'!$B$14-'Data Considered'!$B$15</f>
        <v>0</v>
      </c>
      <c r="X13" s="1">
        <f t="shared" ca="1" si="8"/>
        <v>5224</v>
      </c>
      <c r="Y13" s="1">
        <f t="shared" ca="1" si="9"/>
        <v>0</v>
      </c>
    </row>
    <row r="14" spans="1:25" x14ac:dyDescent="0.3">
      <c r="A14" s="1">
        <f t="shared" si="10"/>
        <v>13</v>
      </c>
      <c r="B14" s="1">
        <f ca="1">Retailer!H13</f>
        <v>11</v>
      </c>
      <c r="C14" s="1">
        <f ca="1">ROUNDUP(AVERAGE(Distributor!B12,Distributor!B13),0)</f>
        <v>29</v>
      </c>
      <c r="D14" s="1">
        <f t="shared" ca="1" si="3"/>
        <v>87</v>
      </c>
      <c r="E14" s="1">
        <f ca="1">Manufacturer!J13</f>
        <v>0</v>
      </c>
      <c r="F14" s="1">
        <f ca="1">IF(A14=1,'Data Considered'!$B$5,Distributor!L13+Distributor!E14)</f>
        <v>0</v>
      </c>
      <c r="G14" s="1">
        <f t="shared" ca="1" si="0"/>
        <v>0</v>
      </c>
      <c r="H14" s="1">
        <f t="shared" ca="1" si="1"/>
        <v>87</v>
      </c>
      <c r="I14" s="1">
        <f t="shared" ca="1" si="4"/>
        <v>0</v>
      </c>
      <c r="J14" s="1">
        <f t="shared" ca="1" si="11"/>
        <v>0</v>
      </c>
      <c r="K14" s="1">
        <f t="shared" ca="1" si="2"/>
        <v>11</v>
      </c>
      <c r="L14" s="1">
        <f t="shared" ca="1" si="5"/>
        <v>0</v>
      </c>
      <c r="M14" s="1">
        <f ca="1">J14*'Data Considered'!$B$9</f>
        <v>0</v>
      </c>
      <c r="N14" s="1">
        <f ca="1">Retailer!P14</f>
        <v>0</v>
      </c>
      <c r="O14" s="1">
        <f ca="1">E14*'Data Considered'!$B$10</f>
        <v>0</v>
      </c>
      <c r="P14" s="1">
        <f ca="1">IF(A14&gt;'Data Considered'!$B$15,OFFSET(Distributor!O14,-'Data Considered'!$B$15,0),0)</f>
        <v>0</v>
      </c>
      <c r="Q14" s="1">
        <f t="shared" ca="1" si="6"/>
        <v>0</v>
      </c>
      <c r="R14" s="1">
        <f ca="1">IF(A14=1,'Data Considered'!$B$17,Distributor!R13+Distributor!Q14)</f>
        <v>33060</v>
      </c>
      <c r="S14" s="1">
        <f ca="1">J14*'Data Considered'!$D$9</f>
        <v>0</v>
      </c>
      <c r="T14" s="1">
        <f ca="1">L14*'Data Considered'!$B$21</f>
        <v>0</v>
      </c>
      <c r="U14" s="1">
        <f ca="1">K14*'Data Considered'!$B$25</f>
        <v>330</v>
      </c>
      <c r="V14" s="1">
        <f t="shared" ca="1" si="7"/>
        <v>0</v>
      </c>
      <c r="W14" s="1">
        <f ca="1">V14+'Data Considered'!$B$14-'Data Considered'!$B$15</f>
        <v>0</v>
      </c>
      <c r="X14" s="1">
        <f t="shared" ca="1" si="8"/>
        <v>0</v>
      </c>
      <c r="Y14" s="1">
        <f t="shared" ca="1" si="9"/>
        <v>2520</v>
      </c>
    </row>
    <row r="15" spans="1:25" x14ac:dyDescent="0.3">
      <c r="A15" s="1">
        <f t="shared" si="10"/>
        <v>14</v>
      </c>
      <c r="B15" s="1">
        <f ca="1">Retailer!H14</f>
        <v>29</v>
      </c>
      <c r="C15" s="1">
        <f ca="1">ROUNDUP(AVERAGE(Distributor!B13,Distributor!B14),0)</f>
        <v>26</v>
      </c>
      <c r="D15" s="1">
        <f t="shared" ca="1" si="3"/>
        <v>78</v>
      </c>
      <c r="E15" s="1">
        <f ca="1">Manufacturer!J14</f>
        <v>0</v>
      </c>
      <c r="F15" s="1">
        <f ca="1">IF(A15=1,'Data Considered'!$B$5,Distributor!L14+Distributor!E15)</f>
        <v>0</v>
      </c>
      <c r="G15" s="1">
        <f t="shared" ca="1" si="0"/>
        <v>87</v>
      </c>
      <c r="H15" s="1">
        <f t="shared" ca="1" si="1"/>
        <v>0</v>
      </c>
      <c r="I15" s="1">
        <f t="shared" ca="1" si="4"/>
        <v>0</v>
      </c>
      <c r="J15" s="1">
        <f t="shared" ca="1" si="11"/>
        <v>0</v>
      </c>
      <c r="K15" s="1">
        <f t="shared" ca="1" si="2"/>
        <v>29</v>
      </c>
      <c r="L15" s="1">
        <f t="shared" ca="1" si="5"/>
        <v>0</v>
      </c>
      <c r="M15" s="1">
        <f ca="1">J15*'Data Considered'!$B$9</f>
        <v>0</v>
      </c>
      <c r="N15" s="1">
        <f ca="1">Retailer!P15</f>
        <v>2520</v>
      </c>
      <c r="O15" s="1">
        <f ca="1">E15*'Data Considered'!$B$10</f>
        <v>0</v>
      </c>
      <c r="P15" s="1">
        <f ca="1">IF(A15&gt;'Data Considered'!$B$15,OFFSET(Distributor!O15,-'Data Considered'!$B$15,0),0)</f>
        <v>0</v>
      </c>
      <c r="Q15" s="1">
        <f t="shared" ca="1" si="6"/>
        <v>2520</v>
      </c>
      <c r="R15" s="1">
        <f ca="1">IF(A15=1,'Data Considered'!$B$17,Distributor!R14+Distributor!Q15)</f>
        <v>35580</v>
      </c>
      <c r="S15" s="1">
        <f ca="1">J15*'Data Considered'!$D$9</f>
        <v>0</v>
      </c>
      <c r="T15" s="1">
        <f ca="1">L15*'Data Considered'!$B$21</f>
        <v>0</v>
      </c>
      <c r="U15" s="1">
        <f ca="1">K15*'Data Considered'!$B$25</f>
        <v>870</v>
      </c>
      <c r="V15" s="1">
        <f t="shared" ca="1" si="7"/>
        <v>0</v>
      </c>
      <c r="W15" s="1">
        <f ca="1">V15+'Data Considered'!$B$14-'Data Considered'!$B$15</f>
        <v>0</v>
      </c>
      <c r="X15" s="1">
        <f t="shared" ca="1" si="8"/>
        <v>0</v>
      </c>
      <c r="Y15" s="1">
        <f t="shared" ca="1" si="9"/>
        <v>4480</v>
      </c>
    </row>
    <row r="16" spans="1:25" x14ac:dyDescent="0.3">
      <c r="A16" s="1">
        <f t="shared" si="10"/>
        <v>15</v>
      </c>
      <c r="B16" s="1">
        <f ca="1">Retailer!H15</f>
        <v>25</v>
      </c>
      <c r="C16" s="1">
        <f ca="1">ROUNDUP(AVERAGE(Distributor!B14,Distributor!B15),0)</f>
        <v>20</v>
      </c>
      <c r="D16" s="1">
        <f t="shared" ca="1" si="3"/>
        <v>60</v>
      </c>
      <c r="E16" s="1">
        <f ca="1">Manufacturer!J15</f>
        <v>87</v>
      </c>
      <c r="F16" s="1">
        <f ca="1">IF(A16=1,'Data Considered'!$B$5,Distributor!L15+Distributor!E16)</f>
        <v>87</v>
      </c>
      <c r="G16" s="1">
        <f t="shared" ca="1" si="0"/>
        <v>87</v>
      </c>
      <c r="H16" s="1">
        <f t="shared" ca="1" si="1"/>
        <v>0</v>
      </c>
      <c r="I16" s="1">
        <f t="shared" ca="1" si="4"/>
        <v>87</v>
      </c>
      <c r="J16" s="1">
        <f t="shared" ca="1" si="11"/>
        <v>25</v>
      </c>
      <c r="K16" s="1">
        <f t="shared" ca="1" si="2"/>
        <v>0</v>
      </c>
      <c r="L16" s="1">
        <f t="shared" ca="1" si="5"/>
        <v>62</v>
      </c>
      <c r="M16" s="1">
        <f ca="1">J16*'Data Considered'!$B$9</f>
        <v>3500</v>
      </c>
      <c r="N16" s="1">
        <f ca="1">Retailer!P16</f>
        <v>4480</v>
      </c>
      <c r="O16" s="1">
        <f ca="1">E16*'Data Considered'!$B$10</f>
        <v>8700</v>
      </c>
      <c r="P16" s="1">
        <f ca="1">IF(A16&gt;'Data Considered'!$B$15,OFFSET(Distributor!O16,-'Data Considered'!$B$15,0),0)</f>
        <v>0</v>
      </c>
      <c r="Q16" s="1">
        <f t="shared" ca="1" si="6"/>
        <v>3685</v>
      </c>
      <c r="R16" s="1">
        <f ca="1">IF(A16=1,'Data Considered'!$B$17,Distributor!R15+Distributor!Q16)</f>
        <v>39265</v>
      </c>
      <c r="S16" s="1">
        <f ca="1">J16*'Data Considered'!$D$9</f>
        <v>175</v>
      </c>
      <c r="T16" s="1">
        <f ca="1">L16*'Data Considered'!$B$21</f>
        <v>620</v>
      </c>
      <c r="U16" s="1">
        <f ca="1">K16*'Data Considered'!$B$25</f>
        <v>0</v>
      </c>
      <c r="V16" s="1">
        <f t="shared" ca="1" si="7"/>
        <v>4</v>
      </c>
      <c r="W16" s="1">
        <f ca="1">V16+'Data Considered'!$B$14-'Data Considered'!$B$15</f>
        <v>4</v>
      </c>
      <c r="X16" s="1">
        <f t="shared" ca="1" si="8"/>
        <v>175</v>
      </c>
      <c r="Y16" s="1">
        <f t="shared" ca="1" si="9"/>
        <v>0</v>
      </c>
    </row>
    <row r="17" spans="1:25" x14ac:dyDescent="0.3">
      <c r="A17" s="1">
        <f t="shared" si="10"/>
        <v>16</v>
      </c>
      <c r="B17" s="1">
        <f ca="1">Retailer!H16</f>
        <v>41</v>
      </c>
      <c r="C17" s="1">
        <f ca="1">ROUNDUP(AVERAGE(Distributor!B15,Distributor!B16),0)</f>
        <v>27</v>
      </c>
      <c r="D17" s="1">
        <f t="shared" ca="1" si="3"/>
        <v>81</v>
      </c>
      <c r="E17" s="1">
        <f ca="1">Manufacturer!J16</f>
        <v>0</v>
      </c>
      <c r="F17" s="1">
        <f ca="1">IF(A17=1,'Data Considered'!$B$5,Distributor!L16+Distributor!E17)</f>
        <v>62</v>
      </c>
      <c r="G17" s="1">
        <f t="shared" ca="1" si="0"/>
        <v>62</v>
      </c>
      <c r="H17" s="1">
        <f t="shared" ca="1" si="1"/>
        <v>19</v>
      </c>
      <c r="I17" s="1">
        <f t="shared" ca="1" si="4"/>
        <v>62</v>
      </c>
      <c r="J17" s="1">
        <f t="shared" ca="1" si="11"/>
        <v>41</v>
      </c>
      <c r="K17" s="1">
        <f t="shared" ca="1" si="2"/>
        <v>0</v>
      </c>
      <c r="L17" s="1">
        <f t="shared" ca="1" si="5"/>
        <v>21</v>
      </c>
      <c r="M17" s="1">
        <f ca="1">J17*'Data Considered'!$B$9</f>
        <v>5740</v>
      </c>
      <c r="N17" s="1">
        <f ca="1">Retailer!P17</f>
        <v>0</v>
      </c>
      <c r="O17" s="1">
        <f ca="1">E17*'Data Considered'!$B$10</f>
        <v>0</v>
      </c>
      <c r="P17" s="1">
        <f ca="1">IF(A17&gt;'Data Considered'!$B$15,OFFSET(Distributor!O17,-'Data Considered'!$B$15,0),0)</f>
        <v>0</v>
      </c>
      <c r="Q17" s="1">
        <f t="shared" ca="1" si="6"/>
        <v>-497</v>
      </c>
      <c r="R17" s="1">
        <f ca="1">IF(A17=1,'Data Considered'!$B$17,Distributor!R16+Distributor!Q17)</f>
        <v>38768</v>
      </c>
      <c r="S17" s="1">
        <f ca="1">J17*'Data Considered'!$D$9</f>
        <v>287</v>
      </c>
      <c r="T17" s="1">
        <f ca="1">L17*'Data Considered'!$B$21</f>
        <v>210</v>
      </c>
      <c r="U17" s="1">
        <f ca="1">K17*'Data Considered'!$B$25</f>
        <v>0</v>
      </c>
      <c r="V17" s="1">
        <f t="shared" ca="1" si="7"/>
        <v>2</v>
      </c>
      <c r="W17" s="1">
        <f ca="1">V17+'Data Considered'!$B$14-'Data Considered'!$B$15</f>
        <v>2</v>
      </c>
      <c r="X17" s="1">
        <f t="shared" ca="1" si="8"/>
        <v>287</v>
      </c>
      <c r="Y17" s="1">
        <f t="shared" ca="1" si="9"/>
        <v>0</v>
      </c>
    </row>
    <row r="18" spans="1:25" x14ac:dyDescent="0.3">
      <c r="A18" s="1">
        <f t="shared" si="10"/>
        <v>17</v>
      </c>
      <c r="B18" s="1">
        <f ca="1">Retailer!H17</f>
        <v>0</v>
      </c>
      <c r="C18" s="1">
        <f ca="1">ROUNDUP(AVERAGE(Distributor!B16,Distributor!B17),0)</f>
        <v>33</v>
      </c>
      <c r="D18" s="1">
        <f t="shared" ca="1" si="3"/>
        <v>99</v>
      </c>
      <c r="E18" s="1">
        <f ca="1">Manufacturer!J17</f>
        <v>0</v>
      </c>
      <c r="F18" s="1">
        <f ca="1">IF(A18=1,'Data Considered'!$B$5,Distributor!L17+Distributor!E18)</f>
        <v>21</v>
      </c>
      <c r="G18" s="1">
        <f t="shared" ca="1" si="0"/>
        <v>40</v>
      </c>
      <c r="H18" s="1">
        <f t="shared" ca="1" si="1"/>
        <v>59</v>
      </c>
      <c r="I18" s="1">
        <f t="shared" ca="1" si="4"/>
        <v>21</v>
      </c>
      <c r="J18" s="1">
        <f t="shared" ca="1" si="11"/>
        <v>0</v>
      </c>
      <c r="K18" s="1">
        <f t="shared" ca="1" si="2"/>
        <v>0</v>
      </c>
      <c r="L18" s="1">
        <f t="shared" ca="1" si="5"/>
        <v>21</v>
      </c>
      <c r="M18" s="1">
        <f ca="1">J18*'Data Considered'!$B$9</f>
        <v>0</v>
      </c>
      <c r="N18" s="1">
        <f ca="1">Retailer!P18</f>
        <v>0</v>
      </c>
      <c r="O18" s="1">
        <f ca="1">E18*'Data Considered'!$B$10</f>
        <v>0</v>
      </c>
      <c r="P18" s="1">
        <f ca="1">IF(A18&gt;'Data Considered'!$B$15,OFFSET(Distributor!O18,-'Data Considered'!$B$15,0),0)</f>
        <v>8700</v>
      </c>
      <c r="Q18" s="1">
        <f t="shared" ca="1" si="6"/>
        <v>-8910</v>
      </c>
      <c r="R18" s="1">
        <f ca="1">IF(A18=1,'Data Considered'!$B$17,Distributor!R17+Distributor!Q18)</f>
        <v>29858</v>
      </c>
      <c r="S18" s="1">
        <f ca="1">J18*'Data Considered'!$D$9</f>
        <v>0</v>
      </c>
      <c r="T18" s="1">
        <f ca="1">L18*'Data Considered'!$B$21</f>
        <v>210</v>
      </c>
      <c r="U18" s="1">
        <f ca="1">K18*'Data Considered'!$B$25</f>
        <v>0</v>
      </c>
      <c r="V18" s="1">
        <f t="shared" ca="1" si="7"/>
        <v>2</v>
      </c>
      <c r="W18" s="1">
        <f ca="1">V18+'Data Considered'!$B$14-'Data Considered'!$B$15</f>
        <v>2</v>
      </c>
      <c r="X18" s="1">
        <f t="shared" ca="1" si="8"/>
        <v>8700</v>
      </c>
      <c r="Y18" s="1">
        <f t="shared" ca="1" si="9"/>
        <v>3500</v>
      </c>
    </row>
    <row r="19" spans="1:25" x14ac:dyDescent="0.3">
      <c r="A19" s="1">
        <f t="shared" si="10"/>
        <v>18</v>
      </c>
      <c r="B19" s="1">
        <f ca="1">Retailer!H18</f>
        <v>13</v>
      </c>
      <c r="C19" s="1">
        <f ca="1">ROUNDUP(AVERAGE(Distributor!B17,Distributor!B18),0)</f>
        <v>21</v>
      </c>
      <c r="D19" s="1">
        <f t="shared" ca="1" si="3"/>
        <v>63</v>
      </c>
      <c r="E19" s="1">
        <f ca="1">Manufacturer!J18</f>
        <v>19</v>
      </c>
      <c r="F19" s="1">
        <f ca="1">IF(A19=1,'Data Considered'!$B$5,Distributor!L18+Distributor!E19)</f>
        <v>40</v>
      </c>
      <c r="G19" s="1">
        <f t="shared" ca="1" si="0"/>
        <v>99</v>
      </c>
      <c r="H19" s="1">
        <f t="shared" ca="1" si="1"/>
        <v>0</v>
      </c>
      <c r="I19" s="1">
        <f t="shared" ca="1" si="4"/>
        <v>40</v>
      </c>
      <c r="J19" s="1">
        <f t="shared" ca="1" si="11"/>
        <v>13</v>
      </c>
      <c r="K19" s="1">
        <f t="shared" ca="1" si="2"/>
        <v>0</v>
      </c>
      <c r="L19" s="1">
        <f t="shared" ca="1" si="5"/>
        <v>27</v>
      </c>
      <c r="M19" s="1">
        <f ca="1">J19*'Data Considered'!$B$9</f>
        <v>1820</v>
      </c>
      <c r="N19" s="1">
        <f ca="1">Retailer!P19</f>
        <v>3500</v>
      </c>
      <c r="O19" s="1">
        <f ca="1">E19*'Data Considered'!$B$10</f>
        <v>1900</v>
      </c>
      <c r="P19" s="1">
        <f ca="1">IF(A19&gt;'Data Considered'!$B$15,OFFSET(Distributor!O19,-'Data Considered'!$B$15,0),0)</f>
        <v>0</v>
      </c>
      <c r="Q19" s="1">
        <f t="shared" ca="1" si="6"/>
        <v>3139</v>
      </c>
      <c r="R19" s="1">
        <f ca="1">IF(A19=1,'Data Considered'!$B$17,Distributor!R18+Distributor!Q19)</f>
        <v>32997</v>
      </c>
      <c r="S19" s="1">
        <f ca="1">J19*'Data Considered'!$D$9</f>
        <v>91</v>
      </c>
      <c r="T19" s="1">
        <f ca="1">L19*'Data Considered'!$B$21</f>
        <v>270</v>
      </c>
      <c r="U19" s="1">
        <f ca="1">K19*'Data Considered'!$B$25</f>
        <v>0</v>
      </c>
      <c r="V19" s="1">
        <f t="shared" ca="1" si="7"/>
        <v>2</v>
      </c>
      <c r="W19" s="1">
        <f ca="1">V19+'Data Considered'!$B$14-'Data Considered'!$B$15</f>
        <v>2</v>
      </c>
      <c r="X19" s="1">
        <f t="shared" ca="1" si="8"/>
        <v>91</v>
      </c>
      <c r="Y19" s="1">
        <f t="shared" ca="1" si="9"/>
        <v>5740</v>
      </c>
    </row>
    <row r="20" spans="1:25" x14ac:dyDescent="0.3">
      <c r="A20" s="1">
        <f t="shared" si="10"/>
        <v>19</v>
      </c>
      <c r="B20" s="1">
        <f ca="1">Retailer!H19</f>
        <v>11</v>
      </c>
      <c r="C20" s="1">
        <f ca="1">ROUNDUP(AVERAGE(Distributor!B18,Distributor!B19),0)</f>
        <v>7</v>
      </c>
      <c r="D20" s="1">
        <f t="shared" ca="1" si="3"/>
        <v>21</v>
      </c>
      <c r="E20" s="1">
        <f ca="1">Manufacturer!J19</f>
        <v>59</v>
      </c>
      <c r="F20" s="1">
        <f ca="1">IF(A20=1,'Data Considered'!$B$5,Distributor!L19+Distributor!E20)</f>
        <v>86</v>
      </c>
      <c r="G20" s="1">
        <f t="shared" ca="1" si="0"/>
        <v>86</v>
      </c>
      <c r="H20" s="1">
        <f t="shared" ca="1" si="1"/>
        <v>0</v>
      </c>
      <c r="I20" s="1">
        <f t="shared" ca="1" si="4"/>
        <v>86</v>
      </c>
      <c r="J20" s="1">
        <f t="shared" ca="1" si="11"/>
        <v>11</v>
      </c>
      <c r="K20" s="1">
        <f t="shared" ca="1" si="2"/>
        <v>0</v>
      </c>
      <c r="L20" s="1">
        <f t="shared" ca="1" si="5"/>
        <v>75</v>
      </c>
      <c r="M20" s="1">
        <f ca="1">J20*'Data Considered'!$B$9</f>
        <v>1540</v>
      </c>
      <c r="N20" s="1">
        <f ca="1">Retailer!P20</f>
        <v>5740</v>
      </c>
      <c r="O20" s="1">
        <f ca="1">E20*'Data Considered'!$B$10</f>
        <v>5900</v>
      </c>
      <c r="P20" s="1">
        <f ca="1">IF(A20&gt;'Data Considered'!$B$15,OFFSET(Distributor!O20,-'Data Considered'!$B$15,0),0)</f>
        <v>0</v>
      </c>
      <c r="Q20" s="1">
        <f t="shared" ca="1" si="6"/>
        <v>4913</v>
      </c>
      <c r="R20" s="1">
        <f ca="1">IF(A20=1,'Data Considered'!$B$17,Distributor!R19+Distributor!Q20)</f>
        <v>37910</v>
      </c>
      <c r="S20" s="1">
        <f ca="1">J20*'Data Considered'!$D$9</f>
        <v>77</v>
      </c>
      <c r="T20" s="1">
        <f ca="1">L20*'Data Considered'!$B$21</f>
        <v>750</v>
      </c>
      <c r="U20" s="1">
        <f ca="1">K20*'Data Considered'!$B$25</f>
        <v>0</v>
      </c>
      <c r="V20" s="1">
        <f t="shared" ca="1" si="7"/>
        <v>4</v>
      </c>
      <c r="W20" s="1">
        <f ca="1">V20+'Data Considered'!$B$14-'Data Considered'!$B$15</f>
        <v>4</v>
      </c>
      <c r="X20" s="1">
        <f t="shared" ca="1" si="8"/>
        <v>77</v>
      </c>
      <c r="Y20" s="1">
        <f t="shared" ca="1" si="9"/>
        <v>0</v>
      </c>
    </row>
    <row r="21" spans="1:25" x14ac:dyDescent="0.3">
      <c r="A21" s="1">
        <f t="shared" si="10"/>
        <v>20</v>
      </c>
      <c r="B21" s="1">
        <f ca="1">Retailer!H20</f>
        <v>14</v>
      </c>
      <c r="C21" s="1">
        <f ca="1">ROUNDUP(AVERAGE(Distributor!B19,Distributor!B20),0)</f>
        <v>12</v>
      </c>
      <c r="D21" s="1">
        <f t="shared" ca="1" si="3"/>
        <v>36</v>
      </c>
      <c r="E21" s="1">
        <f ca="1">Manufacturer!J20</f>
        <v>0</v>
      </c>
      <c r="F21" s="1">
        <f ca="1">IF(A21=1,'Data Considered'!$B$5,Distributor!L20+Distributor!E21)</f>
        <v>75</v>
      </c>
      <c r="G21" s="1">
        <f t="shared" ca="1" si="0"/>
        <v>75</v>
      </c>
      <c r="H21" s="1">
        <f t="shared" ca="1" si="1"/>
        <v>0</v>
      </c>
      <c r="I21" s="1">
        <f t="shared" ca="1" si="4"/>
        <v>75</v>
      </c>
      <c r="J21" s="1">
        <f t="shared" ca="1" si="11"/>
        <v>14</v>
      </c>
      <c r="K21" s="1">
        <f t="shared" ca="1" si="2"/>
        <v>0</v>
      </c>
      <c r="L21" s="1">
        <f t="shared" ca="1" si="5"/>
        <v>61</v>
      </c>
      <c r="M21" s="1">
        <f ca="1">J21*'Data Considered'!$B$9</f>
        <v>1960</v>
      </c>
      <c r="N21" s="1">
        <f ca="1">Retailer!P21</f>
        <v>0</v>
      </c>
      <c r="O21" s="1">
        <f ca="1">E21*'Data Considered'!$B$10</f>
        <v>0</v>
      </c>
      <c r="P21" s="1">
        <f ca="1">IF(A21&gt;'Data Considered'!$B$15,OFFSET(Distributor!O21,-'Data Considered'!$B$15,0),0)</f>
        <v>1900</v>
      </c>
      <c r="Q21" s="1">
        <f t="shared" ca="1" si="6"/>
        <v>-2608</v>
      </c>
      <c r="R21" s="1">
        <f ca="1">IF(A21=1,'Data Considered'!$B$17,Distributor!R20+Distributor!Q21)</f>
        <v>35302</v>
      </c>
      <c r="S21" s="1">
        <f ca="1">J21*'Data Considered'!$D$9</f>
        <v>98</v>
      </c>
      <c r="T21" s="1">
        <f ca="1">L21*'Data Considered'!$B$21</f>
        <v>610</v>
      </c>
      <c r="U21" s="1">
        <f ca="1">K21*'Data Considered'!$B$25</f>
        <v>0</v>
      </c>
      <c r="V21" s="1">
        <f t="shared" ca="1" si="7"/>
        <v>4</v>
      </c>
      <c r="W21" s="1">
        <f ca="1">V21+'Data Considered'!$B$14-'Data Considered'!$B$15</f>
        <v>4</v>
      </c>
      <c r="X21" s="1">
        <f t="shared" ca="1" si="8"/>
        <v>1998</v>
      </c>
      <c r="Y21" s="1">
        <f t="shared" ca="1" si="9"/>
        <v>1820</v>
      </c>
    </row>
    <row r="22" spans="1:25" x14ac:dyDescent="0.3">
      <c r="A22" s="1">
        <f t="shared" si="10"/>
        <v>21</v>
      </c>
      <c r="B22" s="1">
        <f ca="1">Retailer!H21</f>
        <v>11</v>
      </c>
      <c r="C22" s="1">
        <f ca="1">ROUNDUP(AVERAGE(Distributor!B20,Distributor!B21),0)</f>
        <v>13</v>
      </c>
      <c r="D22" s="1">
        <f t="shared" ca="1" si="3"/>
        <v>39</v>
      </c>
      <c r="E22" s="1">
        <f ca="1">Manufacturer!J21</f>
        <v>0</v>
      </c>
      <c r="F22" s="1">
        <f ca="1">IF(A22=1,'Data Considered'!$B$5,Distributor!L21+Distributor!E22)</f>
        <v>61</v>
      </c>
      <c r="G22" s="1">
        <f t="shared" ca="1" si="0"/>
        <v>61</v>
      </c>
      <c r="H22" s="1">
        <f t="shared" ca="1" si="1"/>
        <v>0</v>
      </c>
      <c r="I22" s="1">
        <f t="shared" ca="1" si="4"/>
        <v>61</v>
      </c>
      <c r="J22" s="1">
        <f t="shared" ca="1" si="11"/>
        <v>11</v>
      </c>
      <c r="K22" s="1">
        <f t="shared" ca="1" si="2"/>
        <v>0</v>
      </c>
      <c r="L22" s="1">
        <f t="shared" ca="1" si="5"/>
        <v>50</v>
      </c>
      <c r="M22" s="1">
        <f ca="1">J22*'Data Considered'!$B$9</f>
        <v>1540</v>
      </c>
      <c r="N22" s="1">
        <f ca="1">Retailer!P22</f>
        <v>1820</v>
      </c>
      <c r="O22" s="1">
        <f ca="1">E22*'Data Considered'!$B$10</f>
        <v>0</v>
      </c>
      <c r="P22" s="1">
        <f ca="1">IF(A22&gt;'Data Considered'!$B$15,OFFSET(Distributor!O22,-'Data Considered'!$B$15,0),0)</f>
        <v>5900</v>
      </c>
      <c r="Q22" s="1">
        <f t="shared" ca="1" si="6"/>
        <v>-4657</v>
      </c>
      <c r="R22" s="1">
        <f ca="1">IF(A22=1,'Data Considered'!$B$17,Distributor!R21+Distributor!Q22)</f>
        <v>30645</v>
      </c>
      <c r="S22" s="1">
        <f ca="1">J22*'Data Considered'!$D$9</f>
        <v>77</v>
      </c>
      <c r="T22" s="1">
        <f ca="1">L22*'Data Considered'!$B$21</f>
        <v>500</v>
      </c>
      <c r="U22" s="1">
        <f ca="1">K22*'Data Considered'!$B$25</f>
        <v>0</v>
      </c>
      <c r="V22" s="1">
        <f t="shared" ca="1" si="7"/>
        <v>3</v>
      </c>
      <c r="W22" s="1">
        <f ca="1">V22+'Data Considered'!$B$14-'Data Considered'!$B$15</f>
        <v>3</v>
      </c>
      <c r="X22" s="1">
        <f t="shared" ca="1" si="8"/>
        <v>5977</v>
      </c>
      <c r="Y22" s="1">
        <f t="shared" ca="1" si="9"/>
        <v>1540</v>
      </c>
    </row>
    <row r="23" spans="1:25" x14ac:dyDescent="0.3">
      <c r="A23" s="1">
        <f t="shared" si="10"/>
        <v>22</v>
      </c>
      <c r="B23" s="1">
        <f ca="1">Retailer!H22</f>
        <v>38</v>
      </c>
      <c r="C23" s="1">
        <f ca="1">ROUNDUP(AVERAGE(Distributor!B21,Distributor!B22),0)</f>
        <v>13</v>
      </c>
      <c r="D23" s="1">
        <f t="shared" ca="1" si="3"/>
        <v>39</v>
      </c>
      <c r="E23" s="1">
        <f ca="1">Manufacturer!J22</f>
        <v>0</v>
      </c>
      <c r="F23" s="1">
        <f ca="1">IF(A23=1,'Data Considered'!$B$5,Distributor!L22+Distributor!E23)</f>
        <v>50</v>
      </c>
      <c r="G23" s="1">
        <f t="shared" ca="1" si="0"/>
        <v>50</v>
      </c>
      <c r="H23" s="1">
        <f t="shared" ca="1" si="1"/>
        <v>0</v>
      </c>
      <c r="I23" s="1">
        <f t="shared" ca="1" si="4"/>
        <v>50</v>
      </c>
      <c r="J23" s="1">
        <f t="shared" ca="1" si="11"/>
        <v>38</v>
      </c>
      <c r="K23" s="1">
        <f t="shared" ca="1" si="2"/>
        <v>0</v>
      </c>
      <c r="L23" s="1">
        <f t="shared" ca="1" si="5"/>
        <v>12</v>
      </c>
      <c r="M23" s="1">
        <f ca="1">J23*'Data Considered'!$B$9</f>
        <v>5320</v>
      </c>
      <c r="N23" s="1">
        <f ca="1">Retailer!P23</f>
        <v>1540</v>
      </c>
      <c r="O23" s="1">
        <f ca="1">E23*'Data Considered'!$B$10</f>
        <v>0</v>
      </c>
      <c r="P23" s="1">
        <f ca="1">IF(A23&gt;'Data Considered'!$B$15,OFFSET(Distributor!O23,-'Data Considered'!$B$15,0),0)</f>
        <v>0</v>
      </c>
      <c r="Q23" s="1">
        <f t="shared" ca="1" si="6"/>
        <v>1154</v>
      </c>
      <c r="R23" s="1">
        <f ca="1">IF(A23=1,'Data Considered'!$B$17,Distributor!R22+Distributor!Q23)</f>
        <v>31799</v>
      </c>
      <c r="S23" s="1">
        <f ca="1">J23*'Data Considered'!$D$9</f>
        <v>266</v>
      </c>
      <c r="T23" s="1">
        <f ca="1">L23*'Data Considered'!$B$21</f>
        <v>120</v>
      </c>
      <c r="U23" s="1">
        <f ca="1">K23*'Data Considered'!$B$25</f>
        <v>0</v>
      </c>
      <c r="V23" s="1">
        <f t="shared" ca="1" si="7"/>
        <v>1</v>
      </c>
      <c r="W23" s="1">
        <f ca="1">V23+'Data Considered'!$B$14-'Data Considered'!$B$15</f>
        <v>1</v>
      </c>
      <c r="X23" s="1">
        <f t="shared" ca="1" si="8"/>
        <v>266</v>
      </c>
      <c r="Y23" s="1">
        <f t="shared" ca="1" si="9"/>
        <v>1960</v>
      </c>
    </row>
    <row r="24" spans="1:25" x14ac:dyDescent="0.3">
      <c r="A24" s="1">
        <f t="shared" si="10"/>
        <v>23</v>
      </c>
      <c r="B24" s="1">
        <f ca="1">Retailer!H23</f>
        <v>23</v>
      </c>
      <c r="C24" s="1">
        <f ca="1">ROUNDUP(AVERAGE(Distributor!B22,Distributor!B23),0)</f>
        <v>25</v>
      </c>
      <c r="D24" s="1">
        <f t="shared" ca="1" si="3"/>
        <v>75</v>
      </c>
      <c r="E24" s="1">
        <f ca="1">Manufacturer!J23</f>
        <v>0</v>
      </c>
      <c r="F24" s="1">
        <f ca="1">IF(A24=1,'Data Considered'!$B$5,Distributor!L23+Distributor!E24)</f>
        <v>12</v>
      </c>
      <c r="G24" s="1">
        <f t="shared" ca="1" si="0"/>
        <v>12</v>
      </c>
      <c r="H24" s="1">
        <f t="shared" ca="1" si="1"/>
        <v>63</v>
      </c>
      <c r="I24" s="1">
        <f t="shared" ca="1" si="4"/>
        <v>12</v>
      </c>
      <c r="J24" s="1">
        <f t="shared" ca="1" si="11"/>
        <v>12</v>
      </c>
      <c r="K24" s="1">
        <f t="shared" ca="1" si="2"/>
        <v>11</v>
      </c>
      <c r="L24" s="1">
        <f t="shared" ca="1" si="5"/>
        <v>0</v>
      </c>
      <c r="M24" s="1">
        <f ca="1">J24*'Data Considered'!$B$9</f>
        <v>1680</v>
      </c>
      <c r="N24" s="1">
        <f ca="1">Retailer!P24</f>
        <v>1960</v>
      </c>
      <c r="O24" s="1">
        <f ca="1">E24*'Data Considered'!$B$10</f>
        <v>0</v>
      </c>
      <c r="P24" s="1">
        <f ca="1">IF(A24&gt;'Data Considered'!$B$15,OFFSET(Distributor!O24,-'Data Considered'!$B$15,0),0)</f>
        <v>0</v>
      </c>
      <c r="Q24" s="1">
        <f t="shared" ca="1" si="6"/>
        <v>1876</v>
      </c>
      <c r="R24" s="1">
        <f ca="1">IF(A24=1,'Data Considered'!$B$17,Distributor!R23+Distributor!Q24)</f>
        <v>33675</v>
      </c>
      <c r="S24" s="1">
        <f ca="1">J24*'Data Considered'!$D$9</f>
        <v>84</v>
      </c>
      <c r="T24" s="1">
        <f ca="1">L24*'Data Considered'!$B$21</f>
        <v>0</v>
      </c>
      <c r="U24" s="1">
        <f ca="1">K24*'Data Considered'!$B$25</f>
        <v>330</v>
      </c>
      <c r="V24" s="1">
        <f t="shared" ca="1" si="7"/>
        <v>0</v>
      </c>
      <c r="W24" s="1">
        <f ca="1">V24+'Data Considered'!$B$14-'Data Considered'!$B$15</f>
        <v>0</v>
      </c>
      <c r="X24" s="1">
        <f t="shared" ca="1" si="8"/>
        <v>84</v>
      </c>
      <c r="Y24" s="1">
        <f t="shared" ca="1" si="9"/>
        <v>1540</v>
      </c>
    </row>
    <row r="25" spans="1:25" x14ac:dyDescent="0.3">
      <c r="A25" s="1">
        <f t="shared" si="10"/>
        <v>24</v>
      </c>
      <c r="B25" s="1">
        <f ca="1">Retailer!H24</f>
        <v>0</v>
      </c>
      <c r="C25" s="1">
        <f ca="1">ROUNDUP(AVERAGE(Distributor!B23,Distributor!B24),0)</f>
        <v>31</v>
      </c>
      <c r="D25" s="1">
        <f t="shared" ca="1" si="3"/>
        <v>93</v>
      </c>
      <c r="E25" s="1">
        <f ca="1">Manufacturer!J24</f>
        <v>0</v>
      </c>
      <c r="F25" s="1">
        <f ca="1">IF(A25=1,'Data Considered'!$B$5,Distributor!L24+Distributor!E25)</f>
        <v>0</v>
      </c>
      <c r="G25" s="1">
        <f t="shared" ca="1" si="0"/>
        <v>63</v>
      </c>
      <c r="H25" s="1">
        <f t="shared" ca="1" si="1"/>
        <v>30</v>
      </c>
      <c r="I25" s="1">
        <f t="shared" ca="1" si="4"/>
        <v>0</v>
      </c>
      <c r="J25" s="1">
        <f t="shared" ca="1" si="11"/>
        <v>0</v>
      </c>
      <c r="K25" s="1">
        <f t="shared" ca="1" si="2"/>
        <v>0</v>
      </c>
      <c r="L25" s="1">
        <f t="shared" ca="1" si="5"/>
        <v>0</v>
      </c>
      <c r="M25" s="1">
        <f ca="1">J25*'Data Considered'!$B$9</f>
        <v>0</v>
      </c>
      <c r="N25" s="1">
        <f ca="1">Retailer!P25</f>
        <v>1540</v>
      </c>
      <c r="O25" s="1">
        <f ca="1">E25*'Data Considered'!$B$10</f>
        <v>0</v>
      </c>
      <c r="P25" s="1">
        <f ca="1">IF(A25&gt;'Data Considered'!$B$15,OFFSET(Distributor!O25,-'Data Considered'!$B$15,0),0)</f>
        <v>0</v>
      </c>
      <c r="Q25" s="1">
        <f t="shared" ca="1" si="6"/>
        <v>1540</v>
      </c>
      <c r="R25" s="1">
        <f ca="1">IF(A25=1,'Data Considered'!$B$17,Distributor!R24+Distributor!Q25)</f>
        <v>35215</v>
      </c>
      <c r="S25" s="1">
        <f ca="1">J25*'Data Considered'!$D$9</f>
        <v>0</v>
      </c>
      <c r="T25" s="1">
        <f ca="1">L25*'Data Considered'!$B$21</f>
        <v>0</v>
      </c>
      <c r="U25" s="1">
        <f ca="1">K25*'Data Considered'!$B$25</f>
        <v>0</v>
      </c>
      <c r="V25" s="1">
        <f t="shared" ca="1" si="7"/>
        <v>0</v>
      </c>
      <c r="W25" s="1">
        <f ca="1">V25+'Data Considered'!$B$14-'Data Considered'!$B$15</f>
        <v>0</v>
      </c>
      <c r="X25" s="1">
        <f t="shared" ca="1" si="8"/>
        <v>0</v>
      </c>
      <c r="Y25" s="1">
        <f t="shared" ca="1" si="9"/>
        <v>5320</v>
      </c>
    </row>
    <row r="26" spans="1:25" x14ac:dyDescent="0.3">
      <c r="A26" s="1">
        <f t="shared" si="10"/>
        <v>25</v>
      </c>
      <c r="B26" s="1">
        <f ca="1">Retailer!H25</f>
        <v>22</v>
      </c>
      <c r="C26" s="1">
        <f ca="1">ROUNDUP(AVERAGE(Distributor!B24,Distributor!B25),0)</f>
        <v>12</v>
      </c>
      <c r="D26" s="1">
        <f t="shared" ca="1" si="3"/>
        <v>36</v>
      </c>
      <c r="E26" s="1">
        <f ca="1">Manufacturer!J25</f>
        <v>63</v>
      </c>
      <c r="F26" s="1">
        <f ca="1">IF(A26=1,'Data Considered'!$B$5,Distributor!L25+Distributor!E26)</f>
        <v>63</v>
      </c>
      <c r="G26" s="1">
        <f t="shared" ca="1" si="0"/>
        <v>93</v>
      </c>
      <c r="H26" s="1">
        <f t="shared" ca="1" si="1"/>
        <v>0</v>
      </c>
      <c r="I26" s="1">
        <f t="shared" ca="1" si="4"/>
        <v>63</v>
      </c>
      <c r="J26" s="1">
        <f t="shared" ca="1" si="11"/>
        <v>22</v>
      </c>
      <c r="K26" s="1">
        <f t="shared" ca="1" si="2"/>
        <v>0</v>
      </c>
      <c r="L26" s="1">
        <f t="shared" ca="1" si="5"/>
        <v>41</v>
      </c>
      <c r="M26" s="1">
        <f ca="1">J26*'Data Considered'!$B$9</f>
        <v>3080</v>
      </c>
      <c r="N26" s="1">
        <f ca="1">Retailer!P26</f>
        <v>5320</v>
      </c>
      <c r="O26" s="1">
        <f ca="1">E26*'Data Considered'!$B$10</f>
        <v>6300</v>
      </c>
      <c r="P26" s="1">
        <f ca="1">IF(A26&gt;'Data Considered'!$B$15,OFFSET(Distributor!O26,-'Data Considered'!$B$15,0),0)</f>
        <v>0</v>
      </c>
      <c r="Q26" s="1">
        <f t="shared" ca="1" si="6"/>
        <v>4756</v>
      </c>
      <c r="R26" s="1">
        <f ca="1">IF(A26=1,'Data Considered'!$B$17,Distributor!R25+Distributor!Q26)</f>
        <v>39971</v>
      </c>
      <c r="S26" s="1">
        <f ca="1">J26*'Data Considered'!$D$9</f>
        <v>154</v>
      </c>
      <c r="T26" s="1">
        <f ca="1">L26*'Data Considered'!$B$21</f>
        <v>410</v>
      </c>
      <c r="U26" s="1">
        <f ca="1">K26*'Data Considered'!$B$25</f>
        <v>0</v>
      </c>
      <c r="V26" s="1">
        <f t="shared" ca="1" si="7"/>
        <v>3</v>
      </c>
      <c r="W26" s="1">
        <f ca="1">V26+'Data Considered'!$B$14-'Data Considered'!$B$15</f>
        <v>3</v>
      </c>
      <c r="X26" s="1">
        <f t="shared" ca="1" si="8"/>
        <v>154</v>
      </c>
      <c r="Y26" s="1">
        <f t="shared" ca="1" si="9"/>
        <v>1680</v>
      </c>
    </row>
    <row r="27" spans="1:25" x14ac:dyDescent="0.3">
      <c r="A27" s="1">
        <f t="shared" si="10"/>
        <v>26</v>
      </c>
      <c r="B27" s="1">
        <f ca="1">Retailer!H26</f>
        <v>13</v>
      </c>
      <c r="C27" s="1">
        <f ca="1">ROUNDUP(AVERAGE(Distributor!B25,Distributor!B26),0)</f>
        <v>11</v>
      </c>
      <c r="D27" s="1">
        <f t="shared" ca="1" si="3"/>
        <v>33</v>
      </c>
      <c r="E27" s="1">
        <f ca="1">Manufacturer!J26</f>
        <v>30</v>
      </c>
      <c r="F27" s="1">
        <f ca="1">IF(A27=1,'Data Considered'!$B$5,Distributor!L26+Distributor!E27)</f>
        <v>71</v>
      </c>
      <c r="G27" s="1">
        <f t="shared" ca="1" si="0"/>
        <v>71</v>
      </c>
      <c r="H27" s="1">
        <f t="shared" ca="1" si="1"/>
        <v>0</v>
      </c>
      <c r="I27" s="1">
        <f t="shared" ca="1" si="4"/>
        <v>71</v>
      </c>
      <c r="J27" s="1">
        <f t="shared" ca="1" si="11"/>
        <v>13</v>
      </c>
      <c r="K27" s="1">
        <f t="shared" ca="1" si="2"/>
        <v>0</v>
      </c>
      <c r="L27" s="1">
        <f t="shared" ca="1" si="5"/>
        <v>58</v>
      </c>
      <c r="M27" s="1">
        <f ca="1">J27*'Data Considered'!$B$9</f>
        <v>1820</v>
      </c>
      <c r="N27" s="1">
        <f ca="1">Retailer!P27</f>
        <v>1680</v>
      </c>
      <c r="O27" s="1">
        <f ca="1">E27*'Data Considered'!$B$10</f>
        <v>3000</v>
      </c>
      <c r="P27" s="1">
        <f ca="1">IF(A27&gt;'Data Considered'!$B$15,OFFSET(Distributor!O27,-'Data Considered'!$B$15,0),0)</f>
        <v>0</v>
      </c>
      <c r="Q27" s="1">
        <f t="shared" ca="1" si="6"/>
        <v>1009</v>
      </c>
      <c r="R27" s="1">
        <f ca="1">IF(A27=1,'Data Considered'!$B$17,Distributor!R26+Distributor!Q27)</f>
        <v>40980</v>
      </c>
      <c r="S27" s="1">
        <f ca="1">J27*'Data Considered'!$D$9</f>
        <v>91</v>
      </c>
      <c r="T27" s="1">
        <f ca="1">L27*'Data Considered'!$B$21</f>
        <v>580</v>
      </c>
      <c r="U27" s="1">
        <f ca="1">K27*'Data Considered'!$B$25</f>
        <v>0</v>
      </c>
      <c r="V27" s="1">
        <f t="shared" ca="1" si="7"/>
        <v>4</v>
      </c>
      <c r="W27" s="1">
        <f ca="1">V27+'Data Considered'!$B$14-'Data Considered'!$B$15</f>
        <v>4</v>
      </c>
      <c r="X27" s="1">
        <f t="shared" ca="1" si="8"/>
        <v>91</v>
      </c>
      <c r="Y27" s="1">
        <f t="shared" ca="1" si="9"/>
        <v>0</v>
      </c>
    </row>
    <row r="28" spans="1:25" x14ac:dyDescent="0.3">
      <c r="A28" s="1">
        <f t="shared" si="10"/>
        <v>27</v>
      </c>
      <c r="B28" s="1">
        <f ca="1">Retailer!H27</f>
        <v>22</v>
      </c>
      <c r="C28" s="1">
        <f ca="1">ROUNDUP(AVERAGE(Distributor!B26,Distributor!B27),0)</f>
        <v>18</v>
      </c>
      <c r="D28" s="1">
        <f t="shared" ca="1" si="3"/>
        <v>54</v>
      </c>
      <c r="E28" s="1">
        <f ca="1">Manufacturer!J27</f>
        <v>0</v>
      </c>
      <c r="F28" s="1">
        <f ca="1">IF(A28=1,'Data Considered'!$B$5,Distributor!L27+Distributor!E28)</f>
        <v>58</v>
      </c>
      <c r="G28" s="1">
        <f t="shared" ca="1" si="0"/>
        <v>58</v>
      </c>
      <c r="H28" s="1">
        <f t="shared" ca="1" si="1"/>
        <v>0</v>
      </c>
      <c r="I28" s="1">
        <f t="shared" ca="1" si="4"/>
        <v>58</v>
      </c>
      <c r="J28" s="1">
        <f t="shared" ca="1" si="11"/>
        <v>22</v>
      </c>
      <c r="K28" s="1">
        <f t="shared" ca="1" si="2"/>
        <v>0</v>
      </c>
      <c r="L28" s="1">
        <f t="shared" ca="1" si="5"/>
        <v>36</v>
      </c>
      <c r="M28" s="1">
        <f ca="1">J28*'Data Considered'!$B$9</f>
        <v>3080</v>
      </c>
      <c r="N28" s="1">
        <f ca="1">Retailer!P28</f>
        <v>0</v>
      </c>
      <c r="O28" s="1">
        <f ca="1">E28*'Data Considered'!$B$10</f>
        <v>0</v>
      </c>
      <c r="P28" s="1">
        <f ca="1">IF(A28&gt;'Data Considered'!$B$15,OFFSET(Distributor!O28,-'Data Considered'!$B$15,0),0)</f>
        <v>6300</v>
      </c>
      <c r="Q28" s="1">
        <f t="shared" ca="1" si="6"/>
        <v>-6814</v>
      </c>
      <c r="R28" s="1">
        <f ca="1">IF(A28=1,'Data Considered'!$B$17,Distributor!R27+Distributor!Q28)</f>
        <v>34166</v>
      </c>
      <c r="S28" s="1">
        <f ca="1">J28*'Data Considered'!$D$9</f>
        <v>154</v>
      </c>
      <c r="T28" s="1">
        <f ca="1">L28*'Data Considered'!$B$21</f>
        <v>360</v>
      </c>
      <c r="U28" s="1">
        <f ca="1">K28*'Data Considered'!$B$25</f>
        <v>0</v>
      </c>
      <c r="V28" s="1">
        <f t="shared" ca="1" si="7"/>
        <v>2</v>
      </c>
      <c r="W28" s="1">
        <f ca="1">V28+'Data Considered'!$B$14-'Data Considered'!$B$15</f>
        <v>2</v>
      </c>
      <c r="X28" s="1">
        <f t="shared" ca="1" si="8"/>
        <v>6454</v>
      </c>
      <c r="Y28" s="1">
        <f t="shared" ca="1" si="9"/>
        <v>3080</v>
      </c>
    </row>
    <row r="29" spans="1:25" x14ac:dyDescent="0.3">
      <c r="A29" s="1">
        <f t="shared" si="10"/>
        <v>28</v>
      </c>
      <c r="B29" s="1">
        <f ca="1">Retailer!H28</f>
        <v>40</v>
      </c>
      <c r="C29" s="1">
        <f ca="1">ROUNDUP(AVERAGE(Distributor!B27,Distributor!B28),0)</f>
        <v>18</v>
      </c>
      <c r="D29" s="1">
        <f t="shared" ca="1" si="3"/>
        <v>54</v>
      </c>
      <c r="E29" s="1">
        <f ca="1">Manufacturer!J28</f>
        <v>0</v>
      </c>
      <c r="F29" s="1">
        <f ca="1">IF(A29=1,'Data Considered'!$B$5,Distributor!L28+Distributor!E29)</f>
        <v>36</v>
      </c>
      <c r="G29" s="1">
        <f t="shared" ca="1" si="0"/>
        <v>36</v>
      </c>
      <c r="H29" s="1">
        <f t="shared" ca="1" si="1"/>
        <v>18</v>
      </c>
      <c r="I29" s="1">
        <f t="shared" ca="1" si="4"/>
        <v>36</v>
      </c>
      <c r="J29" s="1">
        <f t="shared" ca="1" si="11"/>
        <v>36</v>
      </c>
      <c r="K29" s="1">
        <f t="shared" ca="1" si="2"/>
        <v>4</v>
      </c>
      <c r="L29" s="1">
        <f t="shared" ca="1" si="5"/>
        <v>0</v>
      </c>
      <c r="M29" s="1">
        <f ca="1">J29*'Data Considered'!$B$9</f>
        <v>5040</v>
      </c>
      <c r="N29" s="1">
        <f ca="1">Retailer!P29</f>
        <v>3080</v>
      </c>
      <c r="O29" s="1">
        <f ca="1">E29*'Data Considered'!$B$10</f>
        <v>0</v>
      </c>
      <c r="P29" s="1">
        <f ca="1">IF(A29&gt;'Data Considered'!$B$15,OFFSET(Distributor!O29,-'Data Considered'!$B$15,0),0)</f>
        <v>3000</v>
      </c>
      <c r="Q29" s="1">
        <f t="shared" ca="1" si="6"/>
        <v>-172</v>
      </c>
      <c r="R29" s="1">
        <f ca="1">IF(A29=1,'Data Considered'!$B$17,Distributor!R28+Distributor!Q29)</f>
        <v>33994</v>
      </c>
      <c r="S29" s="1">
        <f ca="1">J29*'Data Considered'!$D$9</f>
        <v>252</v>
      </c>
      <c r="T29" s="1">
        <f ca="1">L29*'Data Considered'!$B$21</f>
        <v>0</v>
      </c>
      <c r="U29" s="1">
        <f ca="1">K29*'Data Considered'!$B$25</f>
        <v>120</v>
      </c>
      <c r="V29" s="1">
        <f t="shared" ca="1" si="7"/>
        <v>0</v>
      </c>
      <c r="W29" s="1">
        <f ca="1">V29+'Data Considered'!$B$14-'Data Considered'!$B$15</f>
        <v>0</v>
      </c>
      <c r="X29" s="1">
        <f t="shared" ca="1" si="8"/>
        <v>3252</v>
      </c>
      <c r="Y29" s="1">
        <f t="shared" ca="1" si="9"/>
        <v>1820</v>
      </c>
    </row>
    <row r="30" spans="1:25" x14ac:dyDescent="0.3">
      <c r="A30" s="1">
        <f t="shared" si="10"/>
        <v>29</v>
      </c>
      <c r="B30" s="1">
        <f ca="1">Retailer!H29</f>
        <v>0</v>
      </c>
      <c r="C30" s="1">
        <f ca="1">ROUNDUP(AVERAGE(Distributor!B28,Distributor!B29),0)</f>
        <v>31</v>
      </c>
      <c r="D30" s="1">
        <f t="shared" ca="1" si="3"/>
        <v>93</v>
      </c>
      <c r="E30" s="1">
        <f ca="1">Manufacturer!J29</f>
        <v>0</v>
      </c>
      <c r="F30" s="1">
        <f ca="1">IF(A30=1,'Data Considered'!$B$5,Distributor!L29+Distributor!E30)</f>
        <v>0</v>
      </c>
      <c r="G30" s="1">
        <f t="shared" ca="1" si="0"/>
        <v>18</v>
      </c>
      <c r="H30" s="1">
        <f t="shared" ca="1" si="1"/>
        <v>75</v>
      </c>
      <c r="I30" s="1">
        <f t="shared" ca="1" si="4"/>
        <v>0</v>
      </c>
      <c r="J30" s="1">
        <f t="shared" ca="1" si="11"/>
        <v>0</v>
      </c>
      <c r="K30" s="1">
        <f t="shared" ca="1" si="2"/>
        <v>0</v>
      </c>
      <c r="L30" s="1">
        <f t="shared" ca="1" si="5"/>
        <v>0</v>
      </c>
      <c r="M30" s="1">
        <f ca="1">J30*'Data Considered'!$B$9</f>
        <v>0</v>
      </c>
      <c r="N30" s="1">
        <f ca="1">Retailer!P30</f>
        <v>1820</v>
      </c>
      <c r="O30" s="1">
        <f ca="1">E30*'Data Considered'!$B$10</f>
        <v>0</v>
      </c>
      <c r="P30" s="1">
        <f ca="1">IF(A30&gt;'Data Considered'!$B$15,OFFSET(Distributor!O30,-'Data Considered'!$B$15,0),0)</f>
        <v>0</v>
      </c>
      <c r="Q30" s="1">
        <f t="shared" ca="1" si="6"/>
        <v>1820</v>
      </c>
      <c r="R30" s="1">
        <f ca="1">IF(A30=1,'Data Considered'!$B$17,Distributor!R29+Distributor!Q30)</f>
        <v>35814</v>
      </c>
      <c r="S30" s="1">
        <f ca="1">J30*'Data Considered'!$D$9</f>
        <v>0</v>
      </c>
      <c r="T30" s="1">
        <f ca="1">L30*'Data Considered'!$B$21</f>
        <v>0</v>
      </c>
      <c r="U30" s="1">
        <f ca="1">K30*'Data Considered'!$B$25</f>
        <v>0</v>
      </c>
      <c r="V30" s="1">
        <f t="shared" ca="1" si="7"/>
        <v>0</v>
      </c>
      <c r="W30" s="1">
        <f ca="1">V30+'Data Considered'!$B$14-'Data Considered'!$B$15</f>
        <v>0</v>
      </c>
      <c r="X30" s="1">
        <f t="shared" ca="1" si="8"/>
        <v>0</v>
      </c>
      <c r="Y30" s="1">
        <f t="shared" ca="1" si="9"/>
        <v>3080</v>
      </c>
    </row>
    <row r="31" spans="1:25" x14ac:dyDescent="0.3">
      <c r="A31" s="1">
        <f t="shared" si="10"/>
        <v>30</v>
      </c>
      <c r="B31" s="1">
        <f ca="1">Retailer!H30</f>
        <v>8</v>
      </c>
      <c r="C31" s="1">
        <f ca="1">ROUNDUP(AVERAGE(Distributor!B29,Distributor!B30),0)</f>
        <v>20</v>
      </c>
      <c r="D31" s="1">
        <f t="shared" ca="1" si="3"/>
        <v>60</v>
      </c>
      <c r="E31" s="1">
        <f ca="1">Manufacturer!J30</f>
        <v>18</v>
      </c>
      <c r="F31" s="1">
        <f ca="1">IF(A31=1,'Data Considered'!$B$5,Distributor!L30+Distributor!E31)</f>
        <v>18</v>
      </c>
      <c r="G31" s="1">
        <f t="shared" ca="1" si="0"/>
        <v>93</v>
      </c>
      <c r="H31" s="1">
        <f t="shared" ca="1" si="1"/>
        <v>0</v>
      </c>
      <c r="I31" s="1">
        <f t="shared" ca="1" si="4"/>
        <v>18</v>
      </c>
      <c r="J31" s="1">
        <f t="shared" ca="1" si="11"/>
        <v>8</v>
      </c>
      <c r="K31" s="1">
        <f t="shared" ca="1" si="2"/>
        <v>0</v>
      </c>
      <c r="L31" s="1">
        <f t="shared" ca="1" si="5"/>
        <v>10</v>
      </c>
      <c r="M31" s="1">
        <f ca="1">J31*'Data Considered'!$B$9</f>
        <v>1120</v>
      </c>
      <c r="N31" s="1">
        <f ca="1">Retailer!P31</f>
        <v>3080</v>
      </c>
      <c r="O31" s="1">
        <f ca="1">E31*'Data Considered'!$B$10</f>
        <v>1800</v>
      </c>
      <c r="P31" s="1">
        <f ca="1">IF(A31&gt;'Data Considered'!$B$15,OFFSET(Distributor!O31,-'Data Considered'!$B$15,0),0)</f>
        <v>0</v>
      </c>
      <c r="Q31" s="1">
        <f t="shared" ca="1" si="6"/>
        <v>2924</v>
      </c>
      <c r="R31" s="1">
        <f ca="1">IF(A31=1,'Data Considered'!$B$17,Distributor!R30+Distributor!Q31)</f>
        <v>38738</v>
      </c>
      <c r="S31" s="1">
        <f ca="1">J31*'Data Considered'!$D$9</f>
        <v>56</v>
      </c>
      <c r="T31" s="1">
        <f ca="1">L31*'Data Considered'!$B$21</f>
        <v>100</v>
      </c>
      <c r="U31" s="1">
        <f ca="1">K31*'Data Considered'!$B$25</f>
        <v>0</v>
      </c>
      <c r="V31" s="1">
        <f t="shared" ca="1" si="7"/>
        <v>1</v>
      </c>
      <c r="W31" s="1">
        <f ca="1">V31+'Data Considered'!$B$14-'Data Considered'!$B$15</f>
        <v>1</v>
      </c>
      <c r="X31" s="1">
        <f t="shared" ca="1" si="8"/>
        <v>56</v>
      </c>
      <c r="Y31" s="1">
        <f t="shared" ca="1" si="9"/>
        <v>5040</v>
      </c>
    </row>
    <row r="32" spans="1:25" x14ac:dyDescent="0.3">
      <c r="A32" s="1">
        <f t="shared" si="10"/>
        <v>31</v>
      </c>
      <c r="B32" s="1">
        <f ca="1">Retailer!H31</f>
        <v>43</v>
      </c>
      <c r="C32" s="1">
        <f ca="1">ROUNDUP(AVERAGE(Distributor!B30,Distributor!B31),0)</f>
        <v>4</v>
      </c>
      <c r="D32" s="1">
        <f t="shared" ref="D32:D95" ca="1" si="12">3*C32</f>
        <v>12</v>
      </c>
      <c r="E32" s="1">
        <f ca="1">Manufacturer!J31</f>
        <v>75</v>
      </c>
      <c r="F32" s="1">
        <f ca="1">IF(A32=1,'Data Considered'!$B$5,Distributor!L31+Distributor!E32)</f>
        <v>85</v>
      </c>
      <c r="G32" s="1">
        <f t="shared" ca="1" si="0"/>
        <v>85</v>
      </c>
      <c r="H32" s="1">
        <f t="shared" ca="1" si="1"/>
        <v>0</v>
      </c>
      <c r="I32" s="1">
        <f t="shared" ca="1" si="4"/>
        <v>85</v>
      </c>
      <c r="J32" s="1">
        <f t="shared" ca="1" si="11"/>
        <v>43</v>
      </c>
      <c r="K32" s="1">
        <f t="shared" ca="1" si="2"/>
        <v>0</v>
      </c>
      <c r="L32" s="1">
        <f t="shared" ref="L32:L95" ca="1" si="13">I32-J32</f>
        <v>42</v>
      </c>
      <c r="M32" s="1">
        <f ca="1">J32*'Data Considered'!$B$9</f>
        <v>6020</v>
      </c>
      <c r="N32" s="1">
        <f ca="1">Retailer!P32</f>
        <v>5040</v>
      </c>
      <c r="O32" s="1">
        <f ca="1">E32*'Data Considered'!$B$10</f>
        <v>7500</v>
      </c>
      <c r="P32" s="1">
        <f ca="1">IF(A32&gt;'Data Considered'!$B$15,OFFSET(Distributor!O32,-'Data Considered'!$B$15,0),0)</f>
        <v>0</v>
      </c>
      <c r="Q32" s="1">
        <f t="shared" ca="1" si="6"/>
        <v>4319</v>
      </c>
      <c r="R32" s="1">
        <f ca="1">IF(A32=1,'Data Considered'!$B$17,Distributor!R31+Distributor!Q32)</f>
        <v>43057</v>
      </c>
      <c r="S32" s="1">
        <f ca="1">J32*'Data Considered'!$D$9</f>
        <v>301</v>
      </c>
      <c r="T32" s="1">
        <f ca="1">L32*'Data Considered'!$B$21</f>
        <v>420</v>
      </c>
      <c r="U32" s="1">
        <f ca="1">K32*'Data Considered'!$B$25</f>
        <v>0</v>
      </c>
      <c r="V32" s="1">
        <f t="shared" ca="1" si="7"/>
        <v>3</v>
      </c>
      <c r="W32" s="1">
        <f ca="1">V32+'Data Considered'!$B$14-'Data Considered'!$B$15</f>
        <v>3</v>
      </c>
      <c r="X32" s="1">
        <f t="shared" ca="1" si="8"/>
        <v>301</v>
      </c>
      <c r="Y32" s="1">
        <f t="shared" ca="1" si="9"/>
        <v>0</v>
      </c>
    </row>
    <row r="33" spans="1:25" x14ac:dyDescent="0.3">
      <c r="A33" s="1">
        <f t="shared" si="10"/>
        <v>32</v>
      </c>
      <c r="B33" s="1">
        <f ca="1">Retailer!H32</f>
        <v>27</v>
      </c>
      <c r="C33" s="1">
        <f ca="1">ROUNDUP(AVERAGE(Distributor!B31,Distributor!B32),0)</f>
        <v>26</v>
      </c>
      <c r="D33" s="1">
        <f t="shared" ca="1" si="12"/>
        <v>78</v>
      </c>
      <c r="E33" s="1">
        <f ca="1">Manufacturer!J32</f>
        <v>0</v>
      </c>
      <c r="F33" s="1">
        <f ca="1">IF(A33=1,'Data Considered'!$B$5,Distributor!L32+Distributor!E33)</f>
        <v>42</v>
      </c>
      <c r="G33" s="1">
        <f t="shared" ca="1" si="0"/>
        <v>42</v>
      </c>
      <c r="H33" s="1">
        <f t="shared" ca="1" si="1"/>
        <v>36</v>
      </c>
      <c r="I33" s="1">
        <f t="shared" ca="1" si="4"/>
        <v>42</v>
      </c>
      <c r="J33" s="1">
        <f t="shared" ca="1" si="11"/>
        <v>27</v>
      </c>
      <c r="K33" s="1">
        <f t="shared" ca="1" si="2"/>
        <v>0</v>
      </c>
      <c r="L33" s="1">
        <f t="shared" ca="1" si="13"/>
        <v>15</v>
      </c>
      <c r="M33" s="1">
        <f ca="1">J33*'Data Considered'!$B$9</f>
        <v>3780</v>
      </c>
      <c r="N33" s="1">
        <f ca="1">Retailer!P33</f>
        <v>0</v>
      </c>
      <c r="O33" s="1">
        <f ca="1">E33*'Data Considered'!$B$10</f>
        <v>0</v>
      </c>
      <c r="P33" s="1">
        <f ca="1">IF(A33&gt;'Data Considered'!$B$15,OFFSET(Distributor!O33,-'Data Considered'!$B$15,0),0)</f>
        <v>1800</v>
      </c>
      <c r="Q33" s="1">
        <f t="shared" ca="1" si="6"/>
        <v>-2139</v>
      </c>
      <c r="R33" s="1">
        <f ca="1">IF(A33=1,'Data Considered'!$B$17,Distributor!R32+Distributor!Q33)</f>
        <v>40918</v>
      </c>
      <c r="S33" s="1">
        <f ca="1">J33*'Data Considered'!$D$9</f>
        <v>189</v>
      </c>
      <c r="T33" s="1">
        <f ca="1">L33*'Data Considered'!$B$21</f>
        <v>150</v>
      </c>
      <c r="U33" s="1">
        <f ca="1">K33*'Data Considered'!$B$25</f>
        <v>0</v>
      </c>
      <c r="V33" s="1">
        <f t="shared" ca="1" si="7"/>
        <v>1</v>
      </c>
      <c r="W33" s="1">
        <f ca="1">V33+'Data Considered'!$B$14-'Data Considered'!$B$15</f>
        <v>1</v>
      </c>
      <c r="X33" s="1">
        <f t="shared" ca="1" si="8"/>
        <v>1989</v>
      </c>
      <c r="Y33" s="1">
        <f t="shared" ca="1" si="9"/>
        <v>1120</v>
      </c>
    </row>
    <row r="34" spans="1:25" x14ac:dyDescent="0.3">
      <c r="A34" s="1">
        <f t="shared" si="10"/>
        <v>33</v>
      </c>
      <c r="B34" s="1">
        <f ca="1">Retailer!H33</f>
        <v>2</v>
      </c>
      <c r="C34" s="1">
        <f ca="1">ROUNDUP(AVERAGE(Distributor!B32,Distributor!B33),0)</f>
        <v>35</v>
      </c>
      <c r="D34" s="1">
        <f t="shared" ca="1" si="12"/>
        <v>105</v>
      </c>
      <c r="E34" s="1">
        <f ca="1">Manufacturer!J33</f>
        <v>0</v>
      </c>
      <c r="F34" s="1">
        <f ca="1">IF(A34=1,'Data Considered'!$B$5,Distributor!L33+Distributor!E34)</f>
        <v>15</v>
      </c>
      <c r="G34" s="1">
        <f t="shared" ref="G34:G65" ca="1" si="14">F34+IF(A34&gt;1,H33,0)</f>
        <v>51</v>
      </c>
      <c r="H34" s="1">
        <f t="shared" ref="H34:H65" ca="1" si="15">IF(D34&gt;G34,D34-G34,0)</f>
        <v>54</v>
      </c>
      <c r="I34" s="1">
        <f t="shared" ca="1" si="4"/>
        <v>15</v>
      </c>
      <c r="J34" s="1">
        <f t="shared" ca="1" si="11"/>
        <v>2</v>
      </c>
      <c r="K34" s="1">
        <f t="shared" ref="K34:K65" ca="1" si="16">B34-J34</f>
        <v>0</v>
      </c>
      <c r="L34" s="1">
        <f t="shared" ca="1" si="13"/>
        <v>13</v>
      </c>
      <c r="M34" s="1">
        <f ca="1">J34*'Data Considered'!$B$9</f>
        <v>280</v>
      </c>
      <c r="N34" s="1">
        <f ca="1">Retailer!P34</f>
        <v>1120</v>
      </c>
      <c r="O34" s="1">
        <f ca="1">E34*'Data Considered'!$B$10</f>
        <v>0</v>
      </c>
      <c r="P34" s="1">
        <f ca="1">IF(A34&gt;'Data Considered'!$B$15,OFFSET(Distributor!O34,-'Data Considered'!$B$15,0),0)</f>
        <v>7500</v>
      </c>
      <c r="Q34" s="1">
        <f t="shared" ca="1" si="6"/>
        <v>-6524</v>
      </c>
      <c r="R34" s="1">
        <f ca="1">IF(A34=1,'Data Considered'!$B$17,Distributor!R33+Distributor!Q34)</f>
        <v>34394</v>
      </c>
      <c r="S34" s="1">
        <f ca="1">J34*'Data Considered'!$D$9</f>
        <v>14</v>
      </c>
      <c r="T34" s="1">
        <f ca="1">L34*'Data Considered'!$B$21</f>
        <v>130</v>
      </c>
      <c r="U34" s="1">
        <f ca="1">K34*'Data Considered'!$B$25</f>
        <v>0</v>
      </c>
      <c r="V34" s="1">
        <f t="shared" ca="1" si="7"/>
        <v>1</v>
      </c>
      <c r="W34" s="1">
        <f ca="1">V34+'Data Considered'!$B$14-'Data Considered'!$B$15</f>
        <v>1</v>
      </c>
      <c r="X34" s="1">
        <f t="shared" ca="1" si="8"/>
        <v>7514</v>
      </c>
      <c r="Y34" s="1">
        <f t="shared" ca="1" si="9"/>
        <v>6020</v>
      </c>
    </row>
    <row r="35" spans="1:25" x14ac:dyDescent="0.3">
      <c r="A35" s="1">
        <f t="shared" si="10"/>
        <v>34</v>
      </c>
      <c r="B35" s="1">
        <f ca="1">Retailer!H34</f>
        <v>0</v>
      </c>
      <c r="C35" s="1">
        <f ca="1">ROUNDUP(AVERAGE(Distributor!B33,Distributor!B34),0)</f>
        <v>15</v>
      </c>
      <c r="D35" s="1">
        <f t="shared" ca="1" si="12"/>
        <v>45</v>
      </c>
      <c r="E35" s="1">
        <f ca="1">Manufacturer!J34</f>
        <v>36</v>
      </c>
      <c r="F35" s="1">
        <f ca="1">IF(A35=1,'Data Considered'!$B$5,Distributor!L34+Distributor!E35)</f>
        <v>49</v>
      </c>
      <c r="G35" s="1">
        <f t="shared" ca="1" si="14"/>
        <v>103</v>
      </c>
      <c r="H35" s="1">
        <f t="shared" ca="1" si="15"/>
        <v>0</v>
      </c>
      <c r="I35" s="1">
        <f t="shared" ca="1" si="4"/>
        <v>49</v>
      </c>
      <c r="J35" s="1">
        <f t="shared" ca="1" si="11"/>
        <v>0</v>
      </c>
      <c r="K35" s="1">
        <f t="shared" ca="1" si="16"/>
        <v>0</v>
      </c>
      <c r="L35" s="1">
        <f t="shared" ca="1" si="13"/>
        <v>49</v>
      </c>
      <c r="M35" s="1">
        <f ca="1">J35*'Data Considered'!$B$9</f>
        <v>0</v>
      </c>
      <c r="N35" s="1">
        <f ca="1">Retailer!P35</f>
        <v>6020</v>
      </c>
      <c r="O35" s="1">
        <f ca="1">E35*'Data Considered'!$B$10</f>
        <v>3600</v>
      </c>
      <c r="P35" s="1">
        <f ca="1">IF(A35&gt;'Data Considered'!$B$15,OFFSET(Distributor!O35,-'Data Considered'!$B$15,0),0)</f>
        <v>0</v>
      </c>
      <c r="Q35" s="1">
        <f t="shared" ca="1" si="6"/>
        <v>5530</v>
      </c>
      <c r="R35" s="1">
        <f ca="1">IF(A35=1,'Data Considered'!$B$17,Distributor!R34+Distributor!Q35)</f>
        <v>39924</v>
      </c>
      <c r="S35" s="1">
        <f ca="1">J35*'Data Considered'!$D$9</f>
        <v>0</v>
      </c>
      <c r="T35" s="1">
        <f ca="1">L35*'Data Considered'!$B$21</f>
        <v>490</v>
      </c>
      <c r="U35" s="1">
        <f ca="1">K35*'Data Considered'!$B$25</f>
        <v>0</v>
      </c>
      <c r="V35" s="1">
        <f t="shared" ca="1" si="7"/>
        <v>3</v>
      </c>
      <c r="W35" s="1">
        <f ca="1">V35+'Data Considered'!$B$14-'Data Considered'!$B$15</f>
        <v>3</v>
      </c>
      <c r="X35" s="1">
        <f t="shared" ca="1" si="8"/>
        <v>0</v>
      </c>
      <c r="Y35" s="1">
        <f t="shared" ca="1" si="9"/>
        <v>3780</v>
      </c>
    </row>
    <row r="36" spans="1:25" x14ac:dyDescent="0.3">
      <c r="A36" s="1">
        <f t="shared" si="10"/>
        <v>35</v>
      </c>
      <c r="B36" s="1">
        <f ca="1">Retailer!H35</f>
        <v>0</v>
      </c>
      <c r="C36" s="1">
        <f ca="1">ROUNDUP(AVERAGE(Distributor!B34,Distributor!B35),0)</f>
        <v>1</v>
      </c>
      <c r="D36" s="1">
        <f t="shared" ca="1" si="12"/>
        <v>3</v>
      </c>
      <c r="E36" s="1">
        <f ca="1">Manufacturer!J35</f>
        <v>54</v>
      </c>
      <c r="F36" s="1">
        <f ca="1">IF(A36=1,'Data Considered'!$B$5,Distributor!L35+Distributor!E36)</f>
        <v>103</v>
      </c>
      <c r="G36" s="1">
        <f t="shared" ca="1" si="14"/>
        <v>103</v>
      </c>
      <c r="H36" s="1">
        <f t="shared" ca="1" si="15"/>
        <v>0</v>
      </c>
      <c r="I36" s="1">
        <f t="shared" ca="1" si="4"/>
        <v>103</v>
      </c>
      <c r="J36" s="1">
        <f t="shared" ca="1" si="11"/>
        <v>0</v>
      </c>
      <c r="K36" s="1">
        <f t="shared" ca="1" si="16"/>
        <v>0</v>
      </c>
      <c r="L36" s="1">
        <f t="shared" ca="1" si="13"/>
        <v>103</v>
      </c>
      <c r="M36" s="1">
        <f ca="1">J36*'Data Considered'!$B$9</f>
        <v>0</v>
      </c>
      <c r="N36" s="1">
        <f ca="1">Retailer!P36</f>
        <v>3780</v>
      </c>
      <c r="O36" s="1">
        <f ca="1">E36*'Data Considered'!$B$10</f>
        <v>5400</v>
      </c>
      <c r="P36" s="1">
        <f ca="1">IF(A36&gt;'Data Considered'!$B$15,OFFSET(Distributor!O36,-'Data Considered'!$B$15,0),0)</f>
        <v>0</v>
      </c>
      <c r="Q36" s="1">
        <f t="shared" ca="1" si="6"/>
        <v>2750</v>
      </c>
      <c r="R36" s="1">
        <f ca="1">IF(A36=1,'Data Considered'!$B$17,Distributor!R35+Distributor!Q36)</f>
        <v>42674</v>
      </c>
      <c r="S36" s="1">
        <f ca="1">J36*'Data Considered'!$D$9</f>
        <v>0</v>
      </c>
      <c r="T36" s="1">
        <f ca="1">L36*'Data Considered'!$B$21</f>
        <v>1030</v>
      </c>
      <c r="U36" s="1">
        <f ca="1">K36*'Data Considered'!$B$25</f>
        <v>0</v>
      </c>
      <c r="V36" s="1">
        <f t="shared" ca="1" si="7"/>
        <v>6</v>
      </c>
      <c r="W36" s="1">
        <f ca="1">V36+'Data Considered'!$B$14-'Data Considered'!$B$15</f>
        <v>6</v>
      </c>
      <c r="X36" s="1">
        <f t="shared" ca="1" si="8"/>
        <v>0</v>
      </c>
      <c r="Y36" s="1">
        <f t="shared" ca="1" si="9"/>
        <v>280</v>
      </c>
    </row>
    <row r="37" spans="1:25" x14ac:dyDescent="0.3">
      <c r="A37" s="1">
        <f t="shared" si="10"/>
        <v>36</v>
      </c>
      <c r="B37" s="1">
        <f ca="1">Retailer!H36</f>
        <v>39</v>
      </c>
      <c r="C37" s="1">
        <f ca="1">ROUNDUP(AVERAGE(Distributor!B35,Distributor!B36),0)</f>
        <v>0</v>
      </c>
      <c r="D37" s="1">
        <f t="shared" ca="1" si="12"/>
        <v>0</v>
      </c>
      <c r="E37" s="1">
        <f ca="1">Manufacturer!J36</f>
        <v>0</v>
      </c>
      <c r="F37" s="1">
        <f ca="1">IF(A37=1,'Data Considered'!$B$5,Distributor!L36+Distributor!E37)</f>
        <v>103</v>
      </c>
      <c r="G37" s="1">
        <f t="shared" ca="1" si="14"/>
        <v>103</v>
      </c>
      <c r="H37" s="1">
        <f t="shared" ca="1" si="15"/>
        <v>0</v>
      </c>
      <c r="I37" s="1">
        <f t="shared" ca="1" si="4"/>
        <v>103</v>
      </c>
      <c r="J37" s="1">
        <f t="shared" ca="1" si="11"/>
        <v>39</v>
      </c>
      <c r="K37" s="1">
        <f t="shared" ca="1" si="16"/>
        <v>0</v>
      </c>
      <c r="L37" s="1">
        <f t="shared" ca="1" si="13"/>
        <v>64</v>
      </c>
      <c r="M37" s="1">
        <f ca="1">J37*'Data Considered'!$B$9</f>
        <v>5460</v>
      </c>
      <c r="N37" s="1">
        <f ca="1">Retailer!P37</f>
        <v>280</v>
      </c>
      <c r="O37" s="1">
        <f ca="1">E37*'Data Considered'!$B$10</f>
        <v>0</v>
      </c>
      <c r="P37" s="1">
        <f ca="1">IF(A37&gt;'Data Considered'!$B$15,OFFSET(Distributor!O37,-'Data Considered'!$B$15,0),0)</f>
        <v>3600</v>
      </c>
      <c r="Q37" s="1">
        <f t="shared" ca="1" si="6"/>
        <v>-4233</v>
      </c>
      <c r="R37" s="1">
        <f ca="1">IF(A37=1,'Data Considered'!$B$17,Distributor!R36+Distributor!Q37)</f>
        <v>38441</v>
      </c>
      <c r="S37" s="1">
        <f ca="1">J37*'Data Considered'!$D$9</f>
        <v>273</v>
      </c>
      <c r="T37" s="1">
        <f ca="1">L37*'Data Considered'!$B$21</f>
        <v>640</v>
      </c>
      <c r="U37" s="1">
        <f ca="1">K37*'Data Considered'!$B$25</f>
        <v>0</v>
      </c>
      <c r="V37" s="1">
        <f t="shared" ca="1" si="7"/>
        <v>4</v>
      </c>
      <c r="W37" s="1">
        <f ca="1">V37+'Data Considered'!$B$14-'Data Considered'!$B$15</f>
        <v>4</v>
      </c>
      <c r="X37" s="1">
        <f t="shared" ca="1" si="8"/>
        <v>3873</v>
      </c>
      <c r="Y37" s="1">
        <f t="shared" ca="1" si="9"/>
        <v>0</v>
      </c>
    </row>
    <row r="38" spans="1:25" x14ac:dyDescent="0.3">
      <c r="A38" s="1">
        <f t="shared" si="10"/>
        <v>37</v>
      </c>
      <c r="B38" s="1">
        <f ca="1">Retailer!H37</f>
        <v>7</v>
      </c>
      <c r="C38" s="1">
        <f ca="1">ROUNDUP(AVERAGE(Distributor!B36,Distributor!B37),0)</f>
        <v>20</v>
      </c>
      <c r="D38" s="1">
        <f t="shared" ca="1" si="12"/>
        <v>60</v>
      </c>
      <c r="E38" s="1">
        <f ca="1">Manufacturer!J37</f>
        <v>0</v>
      </c>
      <c r="F38" s="1">
        <f ca="1">IF(A38=1,'Data Considered'!$B$5,Distributor!L37+Distributor!E38)</f>
        <v>64</v>
      </c>
      <c r="G38" s="1">
        <f t="shared" ca="1" si="14"/>
        <v>64</v>
      </c>
      <c r="H38" s="1">
        <f t="shared" ca="1" si="15"/>
        <v>0</v>
      </c>
      <c r="I38" s="1">
        <f t="shared" ca="1" si="4"/>
        <v>64</v>
      </c>
      <c r="J38" s="1">
        <f t="shared" ca="1" si="11"/>
        <v>7</v>
      </c>
      <c r="K38" s="1">
        <f t="shared" ca="1" si="16"/>
        <v>0</v>
      </c>
      <c r="L38" s="1">
        <f t="shared" ca="1" si="13"/>
        <v>57</v>
      </c>
      <c r="M38" s="1">
        <f ca="1">J38*'Data Considered'!$B$9</f>
        <v>980</v>
      </c>
      <c r="N38" s="1">
        <f ca="1">Retailer!P38</f>
        <v>0</v>
      </c>
      <c r="O38" s="1">
        <f ca="1">E38*'Data Considered'!$B$10</f>
        <v>0</v>
      </c>
      <c r="P38" s="1">
        <f ca="1">IF(A38&gt;'Data Considered'!$B$15,OFFSET(Distributor!O38,-'Data Considered'!$B$15,0),0)</f>
        <v>5400</v>
      </c>
      <c r="Q38" s="1">
        <f t="shared" ca="1" si="6"/>
        <v>-6019</v>
      </c>
      <c r="R38" s="1">
        <f ca="1">IF(A38=1,'Data Considered'!$B$17,Distributor!R37+Distributor!Q38)</f>
        <v>32422</v>
      </c>
      <c r="S38" s="1">
        <f ca="1">J38*'Data Considered'!$D$9</f>
        <v>49</v>
      </c>
      <c r="T38" s="1">
        <f ca="1">L38*'Data Considered'!$B$21</f>
        <v>570</v>
      </c>
      <c r="U38" s="1">
        <f ca="1">K38*'Data Considered'!$B$25</f>
        <v>0</v>
      </c>
      <c r="V38" s="1">
        <f t="shared" ca="1" si="7"/>
        <v>4</v>
      </c>
      <c r="W38" s="1">
        <f ca="1">V38+'Data Considered'!$B$14-'Data Considered'!$B$15</f>
        <v>4</v>
      </c>
      <c r="X38" s="1">
        <f t="shared" ca="1" si="8"/>
        <v>5449</v>
      </c>
      <c r="Y38" s="1">
        <f t="shared" ca="1" si="9"/>
        <v>0</v>
      </c>
    </row>
    <row r="39" spans="1:25" x14ac:dyDescent="0.3">
      <c r="A39" s="1">
        <f t="shared" si="10"/>
        <v>38</v>
      </c>
      <c r="B39" s="1">
        <f ca="1">Retailer!H38</f>
        <v>0</v>
      </c>
      <c r="C39" s="1">
        <f ca="1">ROUNDUP(AVERAGE(Distributor!B37,Distributor!B38),0)</f>
        <v>23</v>
      </c>
      <c r="D39" s="1">
        <f t="shared" ca="1" si="12"/>
        <v>69</v>
      </c>
      <c r="E39" s="1">
        <f ca="1">Manufacturer!J38</f>
        <v>0</v>
      </c>
      <c r="F39" s="1">
        <f ca="1">IF(A39=1,'Data Considered'!$B$5,Distributor!L38+Distributor!E39)</f>
        <v>57</v>
      </c>
      <c r="G39" s="1">
        <f t="shared" ca="1" si="14"/>
        <v>57</v>
      </c>
      <c r="H39" s="1">
        <f t="shared" ca="1" si="15"/>
        <v>12</v>
      </c>
      <c r="I39" s="1">
        <f t="shared" ca="1" si="4"/>
        <v>57</v>
      </c>
      <c r="J39" s="1">
        <f t="shared" ca="1" si="11"/>
        <v>0</v>
      </c>
      <c r="K39" s="1">
        <f t="shared" ca="1" si="16"/>
        <v>0</v>
      </c>
      <c r="L39" s="1">
        <f t="shared" ca="1" si="13"/>
        <v>57</v>
      </c>
      <c r="M39" s="1">
        <f ca="1">J39*'Data Considered'!$B$9</f>
        <v>0</v>
      </c>
      <c r="N39" s="1">
        <f ca="1">Retailer!P39</f>
        <v>0</v>
      </c>
      <c r="O39" s="1">
        <f ca="1">E39*'Data Considered'!$B$10</f>
        <v>0</v>
      </c>
      <c r="P39" s="1">
        <f ca="1">IF(A39&gt;'Data Considered'!$B$15,OFFSET(Distributor!O39,-'Data Considered'!$B$15,0),0)</f>
        <v>0</v>
      </c>
      <c r="Q39" s="1">
        <f t="shared" ca="1" si="6"/>
        <v>-570</v>
      </c>
      <c r="R39" s="1">
        <f ca="1">IF(A39=1,'Data Considered'!$B$17,Distributor!R38+Distributor!Q39)</f>
        <v>31852</v>
      </c>
      <c r="S39" s="1">
        <f ca="1">J39*'Data Considered'!$D$9</f>
        <v>0</v>
      </c>
      <c r="T39" s="1">
        <f ca="1">L39*'Data Considered'!$B$21</f>
        <v>570</v>
      </c>
      <c r="U39" s="1">
        <f ca="1">K39*'Data Considered'!$B$25</f>
        <v>0</v>
      </c>
      <c r="V39" s="1">
        <f t="shared" ca="1" si="7"/>
        <v>4</v>
      </c>
      <c r="W39" s="1">
        <f ca="1">V39+'Data Considered'!$B$14-'Data Considered'!$B$15</f>
        <v>4</v>
      </c>
      <c r="X39" s="1">
        <f t="shared" ca="1" si="8"/>
        <v>0</v>
      </c>
      <c r="Y39" s="1">
        <f t="shared" ca="1" si="9"/>
        <v>5460</v>
      </c>
    </row>
    <row r="40" spans="1:25" x14ac:dyDescent="0.3">
      <c r="A40" s="1">
        <f t="shared" si="10"/>
        <v>39</v>
      </c>
      <c r="B40" s="1">
        <f ca="1">Retailer!H39</f>
        <v>17</v>
      </c>
      <c r="C40" s="1">
        <f ca="1">ROUNDUP(AVERAGE(Distributor!B38,Distributor!B39),0)</f>
        <v>4</v>
      </c>
      <c r="D40" s="1">
        <f t="shared" ca="1" si="12"/>
        <v>12</v>
      </c>
      <c r="E40" s="1">
        <f ca="1">Manufacturer!J39</f>
        <v>0</v>
      </c>
      <c r="F40" s="1">
        <f ca="1">IF(A40=1,'Data Considered'!$B$5,Distributor!L39+Distributor!E40)</f>
        <v>57</v>
      </c>
      <c r="G40" s="1">
        <f t="shared" ca="1" si="14"/>
        <v>69</v>
      </c>
      <c r="H40" s="1">
        <f t="shared" ca="1" si="15"/>
        <v>0</v>
      </c>
      <c r="I40" s="1">
        <f t="shared" ca="1" si="4"/>
        <v>57</v>
      </c>
      <c r="J40" s="1">
        <f t="shared" ca="1" si="11"/>
        <v>17</v>
      </c>
      <c r="K40" s="1">
        <f t="shared" ca="1" si="16"/>
        <v>0</v>
      </c>
      <c r="L40" s="1">
        <f t="shared" ca="1" si="13"/>
        <v>40</v>
      </c>
      <c r="M40" s="1">
        <f ca="1">J40*'Data Considered'!$B$9</f>
        <v>2380</v>
      </c>
      <c r="N40" s="1">
        <f ca="1">Retailer!P40</f>
        <v>5460</v>
      </c>
      <c r="O40" s="1">
        <f ca="1">E40*'Data Considered'!$B$10</f>
        <v>0</v>
      </c>
      <c r="P40" s="1">
        <f ca="1">IF(A40&gt;'Data Considered'!$B$15,OFFSET(Distributor!O40,-'Data Considered'!$B$15,0),0)</f>
        <v>0</v>
      </c>
      <c r="Q40" s="1">
        <f t="shared" ca="1" si="6"/>
        <v>4941</v>
      </c>
      <c r="R40" s="1">
        <f ca="1">IF(A40=1,'Data Considered'!$B$17,Distributor!R39+Distributor!Q40)</f>
        <v>36793</v>
      </c>
      <c r="S40" s="1">
        <f ca="1">J40*'Data Considered'!$D$9</f>
        <v>119</v>
      </c>
      <c r="T40" s="1">
        <f ca="1">L40*'Data Considered'!$B$21</f>
        <v>400</v>
      </c>
      <c r="U40" s="1">
        <f ca="1">K40*'Data Considered'!$B$25</f>
        <v>0</v>
      </c>
      <c r="V40" s="1">
        <f t="shared" ca="1" si="7"/>
        <v>3</v>
      </c>
      <c r="W40" s="1">
        <f ca="1">V40+'Data Considered'!$B$14-'Data Considered'!$B$15</f>
        <v>3</v>
      </c>
      <c r="X40" s="1">
        <f t="shared" ca="1" si="8"/>
        <v>119</v>
      </c>
      <c r="Y40" s="1">
        <f t="shared" ca="1" si="9"/>
        <v>980</v>
      </c>
    </row>
    <row r="41" spans="1:25" x14ac:dyDescent="0.3">
      <c r="A41" s="1">
        <f t="shared" si="10"/>
        <v>40</v>
      </c>
      <c r="B41" s="1">
        <f ca="1">Retailer!H40</f>
        <v>11</v>
      </c>
      <c r="C41" s="1">
        <f ca="1">ROUNDUP(AVERAGE(Distributor!B39,Distributor!B40),0)</f>
        <v>9</v>
      </c>
      <c r="D41" s="1">
        <f t="shared" ca="1" si="12"/>
        <v>27</v>
      </c>
      <c r="E41" s="1">
        <f ca="1">Manufacturer!J40</f>
        <v>12</v>
      </c>
      <c r="F41" s="1">
        <f ca="1">IF(A41=1,'Data Considered'!$B$5,Distributor!L40+Distributor!E41)</f>
        <v>52</v>
      </c>
      <c r="G41" s="1">
        <f t="shared" ca="1" si="14"/>
        <v>52</v>
      </c>
      <c r="H41" s="1">
        <f t="shared" ca="1" si="15"/>
        <v>0</v>
      </c>
      <c r="I41" s="1">
        <f t="shared" ca="1" si="4"/>
        <v>52</v>
      </c>
      <c r="J41" s="1">
        <f t="shared" ca="1" si="11"/>
        <v>11</v>
      </c>
      <c r="K41" s="1">
        <f t="shared" ca="1" si="16"/>
        <v>0</v>
      </c>
      <c r="L41" s="1">
        <f t="shared" ca="1" si="13"/>
        <v>41</v>
      </c>
      <c r="M41" s="1">
        <f ca="1">J41*'Data Considered'!$B$9</f>
        <v>1540</v>
      </c>
      <c r="N41" s="1">
        <f ca="1">Retailer!P41</f>
        <v>980</v>
      </c>
      <c r="O41" s="1">
        <f ca="1">E41*'Data Considered'!$B$10</f>
        <v>1200</v>
      </c>
      <c r="P41" s="1">
        <f ca="1">IF(A41&gt;'Data Considered'!$B$15,OFFSET(Distributor!O41,-'Data Considered'!$B$15,0),0)</f>
        <v>0</v>
      </c>
      <c r="Q41" s="1">
        <f t="shared" ca="1" si="6"/>
        <v>493</v>
      </c>
      <c r="R41" s="1">
        <f ca="1">IF(A41=1,'Data Considered'!$B$17,Distributor!R40+Distributor!Q41)</f>
        <v>37286</v>
      </c>
      <c r="S41" s="1">
        <f ca="1">J41*'Data Considered'!$D$9</f>
        <v>77</v>
      </c>
      <c r="T41" s="1">
        <f ca="1">L41*'Data Considered'!$B$21</f>
        <v>410</v>
      </c>
      <c r="U41" s="1">
        <f ca="1">K41*'Data Considered'!$B$25</f>
        <v>0</v>
      </c>
      <c r="V41" s="1">
        <f t="shared" ca="1" si="7"/>
        <v>3</v>
      </c>
      <c r="W41" s="1">
        <f ca="1">V41+'Data Considered'!$B$14-'Data Considered'!$B$15</f>
        <v>3</v>
      </c>
      <c r="X41" s="1">
        <f t="shared" ca="1" si="8"/>
        <v>77</v>
      </c>
      <c r="Y41" s="1">
        <f t="shared" ca="1" si="9"/>
        <v>0</v>
      </c>
    </row>
    <row r="42" spans="1:25" x14ac:dyDescent="0.3">
      <c r="A42" s="1">
        <f t="shared" si="10"/>
        <v>41</v>
      </c>
      <c r="B42" s="1">
        <f ca="1">Retailer!H41</f>
        <v>26</v>
      </c>
      <c r="C42" s="1">
        <f ca="1">ROUNDUP(AVERAGE(Distributor!B40,Distributor!B41),0)</f>
        <v>14</v>
      </c>
      <c r="D42" s="1">
        <f t="shared" ca="1" si="12"/>
        <v>42</v>
      </c>
      <c r="E42" s="1">
        <f ca="1">Manufacturer!J41</f>
        <v>0</v>
      </c>
      <c r="F42" s="1">
        <f ca="1">IF(A42=1,'Data Considered'!$B$5,Distributor!L41+Distributor!E42)</f>
        <v>41</v>
      </c>
      <c r="G42" s="1">
        <f t="shared" ca="1" si="14"/>
        <v>41</v>
      </c>
      <c r="H42" s="1">
        <f t="shared" ca="1" si="15"/>
        <v>1</v>
      </c>
      <c r="I42" s="1">
        <f t="shared" ca="1" si="4"/>
        <v>41</v>
      </c>
      <c r="J42" s="1">
        <f t="shared" ca="1" si="11"/>
        <v>26</v>
      </c>
      <c r="K42" s="1">
        <f t="shared" ca="1" si="16"/>
        <v>0</v>
      </c>
      <c r="L42" s="1">
        <f t="shared" ca="1" si="13"/>
        <v>15</v>
      </c>
      <c r="M42" s="1">
        <f ca="1">J42*'Data Considered'!$B$9</f>
        <v>3640</v>
      </c>
      <c r="N42" s="1">
        <f ca="1">Retailer!P42</f>
        <v>0</v>
      </c>
      <c r="O42" s="1">
        <f ca="1">E42*'Data Considered'!$B$10</f>
        <v>0</v>
      </c>
      <c r="P42" s="1">
        <f ca="1">IF(A42&gt;'Data Considered'!$B$15,OFFSET(Distributor!O42,-'Data Considered'!$B$15,0),0)</f>
        <v>0</v>
      </c>
      <c r="Q42" s="1">
        <f t="shared" ca="1" si="6"/>
        <v>-332</v>
      </c>
      <c r="R42" s="1">
        <f ca="1">IF(A42=1,'Data Considered'!$B$17,Distributor!R41+Distributor!Q42)</f>
        <v>36954</v>
      </c>
      <c r="S42" s="1">
        <f ca="1">J42*'Data Considered'!$D$9</f>
        <v>182</v>
      </c>
      <c r="T42" s="1">
        <f ca="1">L42*'Data Considered'!$B$21</f>
        <v>150</v>
      </c>
      <c r="U42" s="1">
        <f ca="1">K42*'Data Considered'!$B$25</f>
        <v>0</v>
      </c>
      <c r="V42" s="1">
        <f t="shared" ca="1" si="7"/>
        <v>1</v>
      </c>
      <c r="W42" s="1">
        <f ca="1">V42+'Data Considered'!$B$14-'Data Considered'!$B$15</f>
        <v>1</v>
      </c>
      <c r="X42" s="1">
        <f t="shared" ca="1" si="8"/>
        <v>182</v>
      </c>
      <c r="Y42" s="1">
        <f t="shared" ca="1" si="9"/>
        <v>2380</v>
      </c>
    </row>
    <row r="43" spans="1:25" x14ac:dyDescent="0.3">
      <c r="A43" s="1">
        <f t="shared" si="10"/>
        <v>42</v>
      </c>
      <c r="B43" s="1">
        <f ca="1">Retailer!H42</f>
        <v>29</v>
      </c>
      <c r="C43" s="1">
        <f ca="1">ROUNDUP(AVERAGE(Distributor!B41,Distributor!B42),0)</f>
        <v>19</v>
      </c>
      <c r="D43" s="1">
        <f t="shared" ca="1" si="12"/>
        <v>57</v>
      </c>
      <c r="E43" s="1">
        <f ca="1">Manufacturer!J42</f>
        <v>0</v>
      </c>
      <c r="F43" s="1">
        <f ca="1">IF(A43=1,'Data Considered'!$B$5,Distributor!L42+Distributor!E43)</f>
        <v>15</v>
      </c>
      <c r="G43" s="1">
        <f t="shared" ca="1" si="14"/>
        <v>16</v>
      </c>
      <c r="H43" s="1">
        <f t="shared" ca="1" si="15"/>
        <v>41</v>
      </c>
      <c r="I43" s="1">
        <f t="shared" ca="1" si="4"/>
        <v>15</v>
      </c>
      <c r="J43" s="1">
        <f t="shared" ca="1" si="11"/>
        <v>15</v>
      </c>
      <c r="K43" s="1">
        <f t="shared" ca="1" si="16"/>
        <v>14</v>
      </c>
      <c r="L43" s="1">
        <f t="shared" ca="1" si="13"/>
        <v>0</v>
      </c>
      <c r="M43" s="1">
        <f ca="1">J43*'Data Considered'!$B$9</f>
        <v>2100</v>
      </c>
      <c r="N43" s="1">
        <f ca="1">Retailer!P43</f>
        <v>2380</v>
      </c>
      <c r="O43" s="1">
        <f ca="1">E43*'Data Considered'!$B$10</f>
        <v>0</v>
      </c>
      <c r="P43" s="1">
        <f ca="1">IF(A43&gt;'Data Considered'!$B$15,OFFSET(Distributor!O43,-'Data Considered'!$B$15,0),0)</f>
        <v>1200</v>
      </c>
      <c r="Q43" s="1">
        <f t="shared" ca="1" si="6"/>
        <v>1075</v>
      </c>
      <c r="R43" s="1">
        <f ca="1">IF(A43=1,'Data Considered'!$B$17,Distributor!R42+Distributor!Q43)</f>
        <v>38029</v>
      </c>
      <c r="S43" s="1">
        <f ca="1">J43*'Data Considered'!$D$9</f>
        <v>105</v>
      </c>
      <c r="T43" s="1">
        <f ca="1">L43*'Data Considered'!$B$21</f>
        <v>0</v>
      </c>
      <c r="U43" s="1">
        <f ca="1">K43*'Data Considered'!$B$25</f>
        <v>420</v>
      </c>
      <c r="V43" s="1">
        <f t="shared" ca="1" si="7"/>
        <v>0</v>
      </c>
      <c r="W43" s="1">
        <f ca="1">V43+'Data Considered'!$B$14-'Data Considered'!$B$15</f>
        <v>0</v>
      </c>
      <c r="X43" s="1">
        <f t="shared" ca="1" si="8"/>
        <v>1305</v>
      </c>
      <c r="Y43" s="1">
        <f t="shared" ca="1" si="9"/>
        <v>1540</v>
      </c>
    </row>
    <row r="44" spans="1:25" x14ac:dyDescent="0.3">
      <c r="A44" s="1">
        <f t="shared" si="10"/>
        <v>43</v>
      </c>
      <c r="B44" s="1">
        <f ca="1">Retailer!H43</f>
        <v>8</v>
      </c>
      <c r="C44" s="1">
        <f ca="1">ROUNDUP(AVERAGE(Distributor!B42,Distributor!B43),0)</f>
        <v>28</v>
      </c>
      <c r="D44" s="1">
        <f t="shared" ca="1" si="12"/>
        <v>84</v>
      </c>
      <c r="E44" s="1">
        <f ca="1">Manufacturer!J43</f>
        <v>1</v>
      </c>
      <c r="F44" s="1">
        <f ca="1">IF(A44=1,'Data Considered'!$B$5,Distributor!L43+Distributor!E44)</f>
        <v>1</v>
      </c>
      <c r="G44" s="1">
        <f t="shared" ca="1" si="14"/>
        <v>42</v>
      </c>
      <c r="H44" s="1">
        <f t="shared" ca="1" si="15"/>
        <v>42</v>
      </c>
      <c r="I44" s="1">
        <f t="shared" ca="1" si="4"/>
        <v>1</v>
      </c>
      <c r="J44" s="1">
        <f t="shared" ca="1" si="11"/>
        <v>1</v>
      </c>
      <c r="K44" s="1">
        <f t="shared" ca="1" si="16"/>
        <v>7</v>
      </c>
      <c r="L44" s="1">
        <f t="shared" ca="1" si="13"/>
        <v>0</v>
      </c>
      <c r="M44" s="1">
        <f ca="1">J44*'Data Considered'!$B$9</f>
        <v>140</v>
      </c>
      <c r="N44" s="1">
        <f ca="1">Retailer!P44</f>
        <v>1540</v>
      </c>
      <c r="O44" s="1">
        <f ca="1">E44*'Data Considered'!$B$10</f>
        <v>100</v>
      </c>
      <c r="P44" s="1">
        <f ca="1">IF(A44&gt;'Data Considered'!$B$15,OFFSET(Distributor!O44,-'Data Considered'!$B$15,0),0)</f>
        <v>0</v>
      </c>
      <c r="Q44" s="1">
        <f t="shared" ca="1" si="6"/>
        <v>1533</v>
      </c>
      <c r="R44" s="1">
        <f ca="1">IF(A44=1,'Data Considered'!$B$17,Distributor!R43+Distributor!Q44)</f>
        <v>39562</v>
      </c>
      <c r="S44" s="1">
        <f ca="1">J44*'Data Considered'!$D$9</f>
        <v>7</v>
      </c>
      <c r="T44" s="1">
        <f ca="1">L44*'Data Considered'!$B$21</f>
        <v>0</v>
      </c>
      <c r="U44" s="1">
        <f ca="1">K44*'Data Considered'!$B$25</f>
        <v>210</v>
      </c>
      <c r="V44" s="1">
        <f t="shared" ca="1" si="7"/>
        <v>0</v>
      </c>
      <c r="W44" s="1">
        <f ca="1">V44+'Data Considered'!$B$14-'Data Considered'!$B$15</f>
        <v>0</v>
      </c>
      <c r="X44" s="1">
        <f t="shared" ca="1" si="8"/>
        <v>7</v>
      </c>
      <c r="Y44" s="1">
        <f t="shared" ca="1" si="9"/>
        <v>3640</v>
      </c>
    </row>
    <row r="45" spans="1:25" x14ac:dyDescent="0.3">
      <c r="A45" s="1">
        <f t="shared" si="10"/>
        <v>44</v>
      </c>
      <c r="B45" s="1">
        <f ca="1">Retailer!H44</f>
        <v>6</v>
      </c>
      <c r="C45" s="1">
        <f ca="1">ROUNDUP(AVERAGE(Distributor!B43,Distributor!B44),0)</f>
        <v>19</v>
      </c>
      <c r="D45" s="1">
        <f t="shared" ca="1" si="12"/>
        <v>57</v>
      </c>
      <c r="E45" s="1">
        <f ca="1">Manufacturer!J44</f>
        <v>41</v>
      </c>
      <c r="F45" s="1">
        <f ca="1">IF(A45=1,'Data Considered'!$B$5,Distributor!L44+Distributor!E45)</f>
        <v>41</v>
      </c>
      <c r="G45" s="1">
        <f t="shared" ca="1" si="14"/>
        <v>83</v>
      </c>
      <c r="H45" s="1">
        <f t="shared" ca="1" si="15"/>
        <v>0</v>
      </c>
      <c r="I45" s="1">
        <f t="shared" ca="1" si="4"/>
        <v>41</v>
      </c>
      <c r="J45" s="1">
        <f t="shared" ca="1" si="11"/>
        <v>6</v>
      </c>
      <c r="K45" s="1">
        <f t="shared" ca="1" si="16"/>
        <v>0</v>
      </c>
      <c r="L45" s="1">
        <f t="shared" ca="1" si="13"/>
        <v>35</v>
      </c>
      <c r="M45" s="1">
        <f ca="1">J45*'Data Considered'!$B$9</f>
        <v>840</v>
      </c>
      <c r="N45" s="1">
        <f ca="1">Retailer!P45</f>
        <v>3640</v>
      </c>
      <c r="O45" s="1">
        <f ca="1">E45*'Data Considered'!$B$10</f>
        <v>4100</v>
      </c>
      <c r="P45" s="1">
        <f ca="1">IF(A45&gt;'Data Considered'!$B$15,OFFSET(Distributor!O45,-'Data Considered'!$B$15,0),0)</f>
        <v>0</v>
      </c>
      <c r="Q45" s="1">
        <f t="shared" ca="1" si="6"/>
        <v>3248</v>
      </c>
      <c r="R45" s="1">
        <f ca="1">IF(A45=1,'Data Considered'!$B$17,Distributor!R44+Distributor!Q45)</f>
        <v>42810</v>
      </c>
      <c r="S45" s="1">
        <f ca="1">J45*'Data Considered'!$D$9</f>
        <v>42</v>
      </c>
      <c r="T45" s="1">
        <f ca="1">L45*'Data Considered'!$B$21</f>
        <v>350</v>
      </c>
      <c r="U45" s="1">
        <f ca="1">K45*'Data Considered'!$B$25</f>
        <v>0</v>
      </c>
      <c r="V45" s="1">
        <f t="shared" ca="1" si="7"/>
        <v>2</v>
      </c>
      <c r="W45" s="1">
        <f ca="1">V45+'Data Considered'!$B$14-'Data Considered'!$B$15</f>
        <v>2</v>
      </c>
      <c r="X45" s="1">
        <f t="shared" ca="1" si="8"/>
        <v>42</v>
      </c>
      <c r="Y45" s="1">
        <f t="shared" ca="1" si="9"/>
        <v>2100</v>
      </c>
    </row>
    <row r="46" spans="1:25" x14ac:dyDescent="0.3">
      <c r="A46" s="1">
        <f t="shared" si="10"/>
        <v>45</v>
      </c>
      <c r="B46" s="1">
        <f ca="1">Retailer!H45</f>
        <v>32</v>
      </c>
      <c r="C46" s="1">
        <f ca="1">ROUNDUP(AVERAGE(Distributor!B44,Distributor!B45),0)</f>
        <v>7</v>
      </c>
      <c r="D46" s="1">
        <f t="shared" ca="1" si="12"/>
        <v>21</v>
      </c>
      <c r="E46" s="1">
        <f ca="1">Manufacturer!J45</f>
        <v>42</v>
      </c>
      <c r="F46" s="1">
        <f ca="1">IF(A46=1,'Data Considered'!$B$5,Distributor!L45+Distributor!E46)</f>
        <v>77</v>
      </c>
      <c r="G46" s="1">
        <f t="shared" ca="1" si="14"/>
        <v>77</v>
      </c>
      <c r="H46" s="1">
        <f t="shared" ca="1" si="15"/>
        <v>0</v>
      </c>
      <c r="I46" s="1">
        <f t="shared" ca="1" si="4"/>
        <v>77</v>
      </c>
      <c r="J46" s="1">
        <f t="shared" ca="1" si="11"/>
        <v>32</v>
      </c>
      <c r="K46" s="1">
        <f t="shared" ca="1" si="16"/>
        <v>0</v>
      </c>
      <c r="L46" s="1">
        <f t="shared" ca="1" si="13"/>
        <v>45</v>
      </c>
      <c r="M46" s="1">
        <f ca="1">J46*'Data Considered'!$B$9</f>
        <v>4480</v>
      </c>
      <c r="N46" s="1">
        <f ca="1">Retailer!P46</f>
        <v>2100</v>
      </c>
      <c r="O46" s="1">
        <f ca="1">E46*'Data Considered'!$B$10</f>
        <v>4200</v>
      </c>
      <c r="P46" s="1">
        <f ca="1">IF(A46&gt;'Data Considered'!$B$15,OFFSET(Distributor!O46,-'Data Considered'!$B$15,0),0)</f>
        <v>100</v>
      </c>
      <c r="Q46" s="1">
        <f t="shared" ca="1" si="6"/>
        <v>1326</v>
      </c>
      <c r="R46" s="1">
        <f ca="1">IF(A46=1,'Data Considered'!$B$17,Distributor!R45+Distributor!Q46)</f>
        <v>44136</v>
      </c>
      <c r="S46" s="1">
        <f ca="1">J46*'Data Considered'!$D$9</f>
        <v>224</v>
      </c>
      <c r="T46" s="1">
        <f ca="1">L46*'Data Considered'!$B$21</f>
        <v>450</v>
      </c>
      <c r="U46" s="1">
        <f ca="1">K46*'Data Considered'!$B$25</f>
        <v>0</v>
      </c>
      <c r="V46" s="1">
        <f t="shared" ca="1" si="7"/>
        <v>3</v>
      </c>
      <c r="W46" s="1">
        <f ca="1">V46+'Data Considered'!$B$14-'Data Considered'!$B$15</f>
        <v>3</v>
      </c>
      <c r="X46" s="1">
        <f t="shared" ca="1" si="8"/>
        <v>324</v>
      </c>
      <c r="Y46" s="1">
        <f t="shared" ca="1" si="9"/>
        <v>140</v>
      </c>
    </row>
    <row r="47" spans="1:25" x14ac:dyDescent="0.3">
      <c r="A47" s="1">
        <f t="shared" si="10"/>
        <v>46</v>
      </c>
      <c r="B47" s="1">
        <f ca="1">Retailer!H46</f>
        <v>22</v>
      </c>
      <c r="C47" s="1">
        <f ca="1">ROUNDUP(AVERAGE(Distributor!B45,Distributor!B46),0)</f>
        <v>19</v>
      </c>
      <c r="D47" s="1">
        <f t="shared" ca="1" si="12"/>
        <v>57</v>
      </c>
      <c r="E47" s="1">
        <f ca="1">Manufacturer!J46</f>
        <v>0</v>
      </c>
      <c r="F47" s="1">
        <f ca="1">IF(A47=1,'Data Considered'!$B$5,Distributor!L46+Distributor!E47)</f>
        <v>45</v>
      </c>
      <c r="G47" s="1">
        <f t="shared" ca="1" si="14"/>
        <v>45</v>
      </c>
      <c r="H47" s="1">
        <f t="shared" ca="1" si="15"/>
        <v>12</v>
      </c>
      <c r="I47" s="1">
        <f t="shared" ca="1" si="4"/>
        <v>45</v>
      </c>
      <c r="J47" s="1">
        <f t="shared" ca="1" si="11"/>
        <v>22</v>
      </c>
      <c r="K47" s="1">
        <f t="shared" ca="1" si="16"/>
        <v>0</v>
      </c>
      <c r="L47" s="1">
        <f t="shared" ca="1" si="13"/>
        <v>23</v>
      </c>
      <c r="M47" s="1">
        <f ca="1">J47*'Data Considered'!$B$9</f>
        <v>3080</v>
      </c>
      <c r="N47" s="1">
        <f ca="1">Retailer!P47</f>
        <v>140</v>
      </c>
      <c r="O47" s="1">
        <f ca="1">E47*'Data Considered'!$B$10</f>
        <v>0</v>
      </c>
      <c r="P47" s="1">
        <f ca="1">IF(A47&gt;'Data Considered'!$B$15,OFFSET(Distributor!O47,-'Data Considered'!$B$15,0),0)</f>
        <v>4100</v>
      </c>
      <c r="Q47" s="1">
        <f t="shared" ca="1" si="6"/>
        <v>-4344</v>
      </c>
      <c r="R47" s="1">
        <f ca="1">IF(A47=1,'Data Considered'!$B$17,Distributor!R46+Distributor!Q47)</f>
        <v>39792</v>
      </c>
      <c r="S47" s="1">
        <f ca="1">J47*'Data Considered'!$D$9</f>
        <v>154</v>
      </c>
      <c r="T47" s="1">
        <f ca="1">L47*'Data Considered'!$B$21</f>
        <v>230</v>
      </c>
      <c r="U47" s="1">
        <f ca="1">K47*'Data Considered'!$B$25</f>
        <v>0</v>
      </c>
      <c r="V47" s="1">
        <f t="shared" ca="1" si="7"/>
        <v>2</v>
      </c>
      <c r="W47" s="1">
        <f ca="1">V47+'Data Considered'!$B$14-'Data Considered'!$B$15</f>
        <v>2</v>
      </c>
      <c r="X47" s="1">
        <f t="shared" ca="1" si="8"/>
        <v>4254</v>
      </c>
      <c r="Y47" s="1">
        <f t="shared" ca="1" si="9"/>
        <v>840</v>
      </c>
    </row>
    <row r="48" spans="1:25" x14ac:dyDescent="0.3">
      <c r="A48" s="1">
        <f t="shared" si="10"/>
        <v>47</v>
      </c>
      <c r="B48" s="1">
        <f ca="1">Retailer!H47</f>
        <v>18</v>
      </c>
      <c r="C48" s="1">
        <f ca="1">ROUNDUP(AVERAGE(Distributor!B46,Distributor!B47),0)</f>
        <v>27</v>
      </c>
      <c r="D48" s="1">
        <f t="shared" ca="1" si="12"/>
        <v>81</v>
      </c>
      <c r="E48" s="1">
        <f ca="1">Manufacturer!J47</f>
        <v>0</v>
      </c>
      <c r="F48" s="1">
        <f ca="1">IF(A48=1,'Data Considered'!$B$5,Distributor!L47+Distributor!E48)</f>
        <v>23</v>
      </c>
      <c r="G48" s="1">
        <f t="shared" ca="1" si="14"/>
        <v>35</v>
      </c>
      <c r="H48" s="1">
        <f t="shared" ca="1" si="15"/>
        <v>46</v>
      </c>
      <c r="I48" s="1">
        <f t="shared" ca="1" si="4"/>
        <v>23</v>
      </c>
      <c r="J48" s="1">
        <f t="shared" ca="1" si="11"/>
        <v>18</v>
      </c>
      <c r="K48" s="1">
        <f t="shared" ca="1" si="16"/>
        <v>0</v>
      </c>
      <c r="L48" s="1">
        <f t="shared" ca="1" si="13"/>
        <v>5</v>
      </c>
      <c r="M48" s="1">
        <f ca="1">J48*'Data Considered'!$B$9</f>
        <v>2520</v>
      </c>
      <c r="N48" s="1">
        <f ca="1">Retailer!P48</f>
        <v>840</v>
      </c>
      <c r="O48" s="1">
        <f ca="1">E48*'Data Considered'!$B$10</f>
        <v>0</v>
      </c>
      <c r="P48" s="1">
        <f ca="1">IF(A48&gt;'Data Considered'!$B$15,OFFSET(Distributor!O48,-'Data Considered'!$B$15,0),0)</f>
        <v>4200</v>
      </c>
      <c r="Q48" s="1">
        <f t="shared" ca="1" si="6"/>
        <v>-3536</v>
      </c>
      <c r="R48" s="1">
        <f ca="1">IF(A48=1,'Data Considered'!$B$17,Distributor!R47+Distributor!Q48)</f>
        <v>36256</v>
      </c>
      <c r="S48" s="1">
        <f ca="1">J48*'Data Considered'!$D$9</f>
        <v>126</v>
      </c>
      <c r="T48" s="1">
        <f ca="1">L48*'Data Considered'!$B$21</f>
        <v>50</v>
      </c>
      <c r="U48" s="1">
        <f ca="1">K48*'Data Considered'!$B$25</f>
        <v>0</v>
      </c>
      <c r="V48" s="1">
        <f t="shared" ca="1" si="7"/>
        <v>1</v>
      </c>
      <c r="W48" s="1">
        <f ca="1">V48+'Data Considered'!$B$14-'Data Considered'!$B$15</f>
        <v>1</v>
      </c>
      <c r="X48" s="1">
        <f t="shared" ca="1" si="8"/>
        <v>4326</v>
      </c>
      <c r="Y48" s="1">
        <f t="shared" ca="1" si="9"/>
        <v>4480</v>
      </c>
    </row>
    <row r="49" spans="1:25" x14ac:dyDescent="0.3">
      <c r="A49" s="1">
        <f t="shared" si="10"/>
        <v>48</v>
      </c>
      <c r="B49" s="1">
        <f ca="1">Retailer!H48</f>
        <v>1</v>
      </c>
      <c r="C49" s="1">
        <f ca="1">ROUNDUP(AVERAGE(Distributor!B47,Distributor!B48),0)</f>
        <v>20</v>
      </c>
      <c r="D49" s="1">
        <f t="shared" ca="1" si="12"/>
        <v>60</v>
      </c>
      <c r="E49" s="1">
        <f ca="1">Manufacturer!J48</f>
        <v>12</v>
      </c>
      <c r="F49" s="1">
        <f ca="1">IF(A49=1,'Data Considered'!$B$5,Distributor!L48+Distributor!E49)</f>
        <v>17</v>
      </c>
      <c r="G49" s="1">
        <f t="shared" ca="1" si="14"/>
        <v>63</v>
      </c>
      <c r="H49" s="1">
        <f t="shared" ca="1" si="15"/>
        <v>0</v>
      </c>
      <c r="I49" s="1">
        <f t="shared" ca="1" si="4"/>
        <v>17</v>
      </c>
      <c r="J49" s="1">
        <f t="shared" ca="1" si="11"/>
        <v>1</v>
      </c>
      <c r="K49" s="1">
        <f t="shared" ca="1" si="16"/>
        <v>0</v>
      </c>
      <c r="L49" s="1">
        <f t="shared" ca="1" si="13"/>
        <v>16</v>
      </c>
      <c r="M49" s="1">
        <f ca="1">J49*'Data Considered'!$B$9</f>
        <v>140</v>
      </c>
      <c r="N49" s="1">
        <f ca="1">Retailer!P49</f>
        <v>4480</v>
      </c>
      <c r="O49" s="1">
        <f ca="1">E49*'Data Considered'!$B$10</f>
        <v>1200</v>
      </c>
      <c r="P49" s="1">
        <f ca="1">IF(A49&gt;'Data Considered'!$B$15,OFFSET(Distributor!O49,-'Data Considered'!$B$15,0),0)</f>
        <v>0</v>
      </c>
      <c r="Q49" s="1">
        <f t="shared" ca="1" si="6"/>
        <v>4313</v>
      </c>
      <c r="R49" s="1">
        <f ca="1">IF(A49=1,'Data Considered'!$B$17,Distributor!R48+Distributor!Q49)</f>
        <v>40569</v>
      </c>
      <c r="S49" s="1">
        <f ca="1">J49*'Data Considered'!$D$9</f>
        <v>7</v>
      </c>
      <c r="T49" s="1">
        <f ca="1">L49*'Data Considered'!$B$21</f>
        <v>160</v>
      </c>
      <c r="U49" s="1">
        <f ca="1">K49*'Data Considered'!$B$25</f>
        <v>0</v>
      </c>
      <c r="V49" s="1">
        <f t="shared" ca="1" si="7"/>
        <v>1</v>
      </c>
      <c r="W49" s="1">
        <f ca="1">V49+'Data Considered'!$B$14-'Data Considered'!$B$15</f>
        <v>1</v>
      </c>
      <c r="X49" s="1">
        <f t="shared" ca="1" si="8"/>
        <v>7</v>
      </c>
      <c r="Y49" s="1">
        <f t="shared" ca="1" si="9"/>
        <v>3080</v>
      </c>
    </row>
    <row r="50" spans="1:25" x14ac:dyDescent="0.3">
      <c r="A50" s="1">
        <f t="shared" si="10"/>
        <v>49</v>
      </c>
      <c r="B50" s="1">
        <f ca="1">Retailer!H49</f>
        <v>21</v>
      </c>
      <c r="C50" s="1">
        <f ca="1">ROUNDUP(AVERAGE(Distributor!B48,Distributor!B49),0)</f>
        <v>10</v>
      </c>
      <c r="D50" s="1">
        <f t="shared" ca="1" si="12"/>
        <v>30</v>
      </c>
      <c r="E50" s="1">
        <f ca="1">Manufacturer!J49</f>
        <v>46</v>
      </c>
      <c r="F50" s="1">
        <f ca="1">IF(A50=1,'Data Considered'!$B$5,Distributor!L49+Distributor!E50)</f>
        <v>62</v>
      </c>
      <c r="G50" s="1">
        <f t="shared" ca="1" si="14"/>
        <v>62</v>
      </c>
      <c r="H50" s="1">
        <f t="shared" ca="1" si="15"/>
        <v>0</v>
      </c>
      <c r="I50" s="1">
        <f t="shared" ca="1" si="4"/>
        <v>62</v>
      </c>
      <c r="J50" s="1">
        <f t="shared" ca="1" si="11"/>
        <v>21</v>
      </c>
      <c r="K50" s="1">
        <f t="shared" ca="1" si="16"/>
        <v>0</v>
      </c>
      <c r="L50" s="1">
        <f t="shared" ca="1" si="13"/>
        <v>41</v>
      </c>
      <c r="M50" s="1">
        <f ca="1">J50*'Data Considered'!$B$9</f>
        <v>2940</v>
      </c>
      <c r="N50" s="1">
        <f ca="1">Retailer!P50</f>
        <v>3080</v>
      </c>
      <c r="O50" s="1">
        <f ca="1">E50*'Data Considered'!$B$10</f>
        <v>4600</v>
      </c>
      <c r="P50" s="1">
        <f ca="1">IF(A50&gt;'Data Considered'!$B$15,OFFSET(Distributor!O50,-'Data Considered'!$B$15,0),0)</f>
        <v>0</v>
      </c>
      <c r="Q50" s="1">
        <f t="shared" ca="1" si="6"/>
        <v>2523</v>
      </c>
      <c r="R50" s="1">
        <f ca="1">IF(A50=1,'Data Considered'!$B$17,Distributor!R49+Distributor!Q50)</f>
        <v>43092</v>
      </c>
      <c r="S50" s="1">
        <f ca="1">J50*'Data Considered'!$D$9</f>
        <v>147</v>
      </c>
      <c r="T50" s="1">
        <f ca="1">L50*'Data Considered'!$B$21</f>
        <v>410</v>
      </c>
      <c r="U50" s="1">
        <f ca="1">K50*'Data Considered'!$B$25</f>
        <v>0</v>
      </c>
      <c r="V50" s="1">
        <f t="shared" ca="1" si="7"/>
        <v>3</v>
      </c>
      <c r="W50" s="1">
        <f ca="1">V50+'Data Considered'!$B$14-'Data Considered'!$B$15</f>
        <v>3</v>
      </c>
      <c r="X50" s="1">
        <f t="shared" ca="1" si="8"/>
        <v>147</v>
      </c>
      <c r="Y50" s="1">
        <f t="shared" ca="1" si="9"/>
        <v>2520</v>
      </c>
    </row>
    <row r="51" spans="1:25" x14ac:dyDescent="0.3">
      <c r="A51" s="1">
        <f t="shared" si="10"/>
        <v>50</v>
      </c>
      <c r="B51" s="1">
        <f ca="1">Retailer!H50</f>
        <v>51</v>
      </c>
      <c r="C51" s="1">
        <f ca="1">ROUNDUP(AVERAGE(Distributor!B49,Distributor!B50),0)</f>
        <v>11</v>
      </c>
      <c r="D51" s="1">
        <f t="shared" ca="1" si="12"/>
        <v>33</v>
      </c>
      <c r="E51" s="1">
        <f ca="1">Manufacturer!J50</f>
        <v>0</v>
      </c>
      <c r="F51" s="1">
        <f ca="1">IF(A51=1,'Data Considered'!$B$5,Distributor!L50+Distributor!E51)</f>
        <v>41</v>
      </c>
      <c r="G51" s="1">
        <f t="shared" ca="1" si="14"/>
        <v>41</v>
      </c>
      <c r="H51" s="1">
        <f t="shared" ca="1" si="15"/>
        <v>0</v>
      </c>
      <c r="I51" s="1">
        <f t="shared" ca="1" si="4"/>
        <v>41</v>
      </c>
      <c r="J51" s="1">
        <f t="shared" ca="1" si="11"/>
        <v>41</v>
      </c>
      <c r="K51" s="1">
        <f t="shared" ca="1" si="16"/>
        <v>10</v>
      </c>
      <c r="L51" s="1">
        <f t="shared" ca="1" si="13"/>
        <v>0</v>
      </c>
      <c r="M51" s="1">
        <f ca="1">J51*'Data Considered'!$B$9</f>
        <v>5740</v>
      </c>
      <c r="N51" s="1">
        <f ca="1">Retailer!P51</f>
        <v>2520</v>
      </c>
      <c r="O51" s="1">
        <f ca="1">E51*'Data Considered'!$B$10</f>
        <v>0</v>
      </c>
      <c r="P51" s="1">
        <f ca="1">IF(A51&gt;'Data Considered'!$B$15,OFFSET(Distributor!O51,-'Data Considered'!$B$15,0),0)</f>
        <v>1200</v>
      </c>
      <c r="Q51" s="1">
        <f t="shared" ca="1" si="6"/>
        <v>1033</v>
      </c>
      <c r="R51" s="1">
        <f ca="1">IF(A51=1,'Data Considered'!$B$17,Distributor!R50+Distributor!Q51)</f>
        <v>44125</v>
      </c>
      <c r="S51" s="1">
        <f ca="1">J51*'Data Considered'!$D$9</f>
        <v>287</v>
      </c>
      <c r="T51" s="1">
        <f ca="1">L51*'Data Considered'!$B$21</f>
        <v>0</v>
      </c>
      <c r="U51" s="1">
        <f ca="1">K51*'Data Considered'!$B$25</f>
        <v>300</v>
      </c>
      <c r="V51" s="1">
        <f t="shared" ca="1" si="7"/>
        <v>0</v>
      </c>
      <c r="W51" s="1">
        <f ca="1">V51+'Data Considered'!$B$14-'Data Considered'!$B$15</f>
        <v>0</v>
      </c>
      <c r="X51" s="1">
        <f t="shared" ca="1" si="8"/>
        <v>1487</v>
      </c>
      <c r="Y51" s="1">
        <f t="shared" ca="1" si="9"/>
        <v>140</v>
      </c>
    </row>
    <row r="52" spans="1:25" x14ac:dyDescent="0.3">
      <c r="A52" s="1">
        <f t="shared" si="10"/>
        <v>51</v>
      </c>
      <c r="B52" s="1">
        <f ca="1">Retailer!H51</f>
        <v>0</v>
      </c>
      <c r="C52" s="1">
        <f ca="1">ROUNDUP(AVERAGE(Distributor!B50,Distributor!B51),0)</f>
        <v>36</v>
      </c>
      <c r="D52" s="1">
        <f t="shared" ca="1" si="12"/>
        <v>108</v>
      </c>
      <c r="E52" s="1">
        <f ca="1">Manufacturer!J51</f>
        <v>0</v>
      </c>
      <c r="F52" s="1">
        <f ca="1">IF(A52=1,'Data Considered'!$B$5,Distributor!L51+Distributor!E52)</f>
        <v>0</v>
      </c>
      <c r="G52" s="1">
        <f t="shared" ca="1" si="14"/>
        <v>0</v>
      </c>
      <c r="H52" s="1">
        <f t="shared" ca="1" si="15"/>
        <v>108</v>
      </c>
      <c r="I52" s="1">
        <f t="shared" ca="1" si="4"/>
        <v>0</v>
      </c>
      <c r="J52" s="1">
        <f t="shared" ca="1" si="11"/>
        <v>0</v>
      </c>
      <c r="K52" s="1">
        <f t="shared" ca="1" si="16"/>
        <v>0</v>
      </c>
      <c r="L52" s="1">
        <f t="shared" ca="1" si="13"/>
        <v>0</v>
      </c>
      <c r="M52" s="1">
        <f ca="1">J52*'Data Considered'!$B$9</f>
        <v>0</v>
      </c>
      <c r="N52" s="1">
        <f ca="1">Retailer!P52</f>
        <v>140</v>
      </c>
      <c r="O52" s="1">
        <f ca="1">E52*'Data Considered'!$B$10</f>
        <v>0</v>
      </c>
      <c r="P52" s="1">
        <f ca="1">IF(A52&gt;'Data Considered'!$B$15,OFFSET(Distributor!O52,-'Data Considered'!$B$15,0),0)</f>
        <v>4600</v>
      </c>
      <c r="Q52" s="1">
        <f t="shared" ca="1" si="6"/>
        <v>-4460</v>
      </c>
      <c r="R52" s="1">
        <f ca="1">IF(A52=1,'Data Considered'!$B$17,Distributor!R51+Distributor!Q52)</f>
        <v>39665</v>
      </c>
      <c r="S52" s="1">
        <f ca="1">J52*'Data Considered'!$D$9</f>
        <v>0</v>
      </c>
      <c r="T52" s="1">
        <f ca="1">L52*'Data Considered'!$B$21</f>
        <v>0</v>
      </c>
      <c r="U52" s="1">
        <f ca="1">K52*'Data Considered'!$B$25</f>
        <v>0</v>
      </c>
      <c r="V52" s="1">
        <f t="shared" ca="1" si="7"/>
        <v>0</v>
      </c>
      <c r="W52" s="1">
        <f ca="1">V52+'Data Considered'!$B$14-'Data Considered'!$B$15</f>
        <v>0</v>
      </c>
      <c r="X52" s="1">
        <f t="shared" ca="1" si="8"/>
        <v>4600</v>
      </c>
      <c r="Y52" s="1">
        <f t="shared" ca="1" si="9"/>
        <v>2940</v>
      </c>
    </row>
    <row r="53" spans="1:25" x14ac:dyDescent="0.3">
      <c r="A53" s="1">
        <f t="shared" si="10"/>
        <v>52</v>
      </c>
      <c r="B53" s="1">
        <f ca="1">Retailer!H52</f>
        <v>6</v>
      </c>
      <c r="C53" s="1">
        <f ca="1">ROUNDUP(AVERAGE(Distributor!B51,Distributor!B52),0)</f>
        <v>26</v>
      </c>
      <c r="D53" s="1">
        <f t="shared" ca="1" si="12"/>
        <v>78</v>
      </c>
      <c r="E53" s="1">
        <f ca="1">Manufacturer!J52</f>
        <v>0</v>
      </c>
      <c r="F53" s="1">
        <f ca="1">IF(A53=1,'Data Considered'!$B$5,Distributor!L52+Distributor!E53)</f>
        <v>0</v>
      </c>
      <c r="G53" s="1">
        <f t="shared" ca="1" si="14"/>
        <v>108</v>
      </c>
      <c r="H53" s="1">
        <f t="shared" ca="1" si="15"/>
        <v>0</v>
      </c>
      <c r="I53" s="1">
        <f t="shared" ca="1" si="4"/>
        <v>0</v>
      </c>
      <c r="J53" s="1">
        <f t="shared" ca="1" si="11"/>
        <v>0</v>
      </c>
      <c r="K53" s="1">
        <f t="shared" ca="1" si="16"/>
        <v>6</v>
      </c>
      <c r="L53" s="1">
        <f t="shared" ca="1" si="13"/>
        <v>0</v>
      </c>
      <c r="M53" s="1">
        <f ca="1">J53*'Data Considered'!$B$9</f>
        <v>0</v>
      </c>
      <c r="N53" s="1">
        <f ca="1">Retailer!P53</f>
        <v>2940</v>
      </c>
      <c r="O53" s="1">
        <f ca="1">E53*'Data Considered'!$B$10</f>
        <v>0</v>
      </c>
      <c r="P53" s="1">
        <f ca="1">IF(A53&gt;'Data Considered'!$B$15,OFFSET(Distributor!O53,-'Data Considered'!$B$15,0),0)</f>
        <v>0</v>
      </c>
      <c r="Q53" s="1">
        <f t="shared" ca="1" si="6"/>
        <v>2940</v>
      </c>
      <c r="R53" s="1">
        <f ca="1">IF(A53=1,'Data Considered'!$B$17,Distributor!R52+Distributor!Q53)</f>
        <v>42605</v>
      </c>
      <c r="S53" s="1">
        <f ca="1">J53*'Data Considered'!$D$9</f>
        <v>0</v>
      </c>
      <c r="T53" s="1">
        <f ca="1">L53*'Data Considered'!$B$21</f>
        <v>0</v>
      </c>
      <c r="U53" s="1">
        <f ca="1">K53*'Data Considered'!$B$25</f>
        <v>180</v>
      </c>
      <c r="V53" s="1">
        <f t="shared" ca="1" si="7"/>
        <v>0</v>
      </c>
      <c r="W53" s="1">
        <f ca="1">V53+'Data Considered'!$B$14-'Data Considered'!$B$15</f>
        <v>0</v>
      </c>
      <c r="X53" s="1">
        <f t="shared" ca="1" si="8"/>
        <v>0</v>
      </c>
      <c r="Y53" s="1">
        <f t="shared" ca="1" si="9"/>
        <v>5740</v>
      </c>
    </row>
    <row r="54" spans="1:25" x14ac:dyDescent="0.3">
      <c r="A54" s="1">
        <f t="shared" si="10"/>
        <v>53</v>
      </c>
      <c r="B54" s="1">
        <f ca="1">Retailer!H53</f>
        <v>16</v>
      </c>
      <c r="C54" s="1">
        <f ca="1">ROUNDUP(AVERAGE(Distributor!B52,Distributor!B53),0)</f>
        <v>3</v>
      </c>
      <c r="D54" s="1">
        <f t="shared" ca="1" si="12"/>
        <v>9</v>
      </c>
      <c r="E54" s="1">
        <f ca="1">Manufacturer!J53</f>
        <v>87</v>
      </c>
      <c r="F54" s="1">
        <f ca="1">IF(A54=1,'Data Considered'!$B$5,Distributor!L53+Distributor!E54)</f>
        <v>87</v>
      </c>
      <c r="G54" s="1">
        <f t="shared" ca="1" si="14"/>
        <v>87</v>
      </c>
      <c r="H54" s="1">
        <f t="shared" ca="1" si="15"/>
        <v>0</v>
      </c>
      <c r="I54" s="1">
        <f t="shared" ca="1" si="4"/>
        <v>87</v>
      </c>
      <c r="J54" s="1">
        <f t="shared" ca="1" si="11"/>
        <v>16</v>
      </c>
      <c r="K54" s="1">
        <f t="shared" ca="1" si="16"/>
        <v>0</v>
      </c>
      <c r="L54" s="1">
        <f t="shared" ca="1" si="13"/>
        <v>71</v>
      </c>
      <c r="M54" s="1">
        <f ca="1">J54*'Data Considered'!$B$9</f>
        <v>2240</v>
      </c>
      <c r="N54" s="1">
        <f ca="1">Retailer!P54</f>
        <v>5740</v>
      </c>
      <c r="O54" s="1">
        <f ca="1">E54*'Data Considered'!$B$10</f>
        <v>8700</v>
      </c>
      <c r="P54" s="1">
        <f ca="1">IF(A54&gt;'Data Considered'!$B$15,OFFSET(Distributor!O54,-'Data Considered'!$B$15,0),0)</f>
        <v>0</v>
      </c>
      <c r="Q54" s="1">
        <f t="shared" ca="1" si="6"/>
        <v>4918</v>
      </c>
      <c r="R54" s="1">
        <f ca="1">IF(A54=1,'Data Considered'!$B$17,Distributor!R53+Distributor!Q54)</f>
        <v>47523</v>
      </c>
      <c r="S54" s="1">
        <f ca="1">J54*'Data Considered'!$D$9</f>
        <v>112</v>
      </c>
      <c r="T54" s="1">
        <f ca="1">L54*'Data Considered'!$B$21</f>
        <v>710</v>
      </c>
      <c r="U54" s="1">
        <f ca="1">K54*'Data Considered'!$B$25</f>
        <v>0</v>
      </c>
      <c r="V54" s="1">
        <f t="shared" ca="1" si="7"/>
        <v>4</v>
      </c>
      <c r="W54" s="1">
        <f ca="1">V54+'Data Considered'!$B$14-'Data Considered'!$B$15</f>
        <v>4</v>
      </c>
      <c r="X54" s="1">
        <f t="shared" ca="1" si="8"/>
        <v>112</v>
      </c>
      <c r="Y54" s="1">
        <f t="shared" ca="1" si="9"/>
        <v>0</v>
      </c>
    </row>
    <row r="55" spans="1:25" x14ac:dyDescent="0.3">
      <c r="A55" s="1">
        <f t="shared" si="10"/>
        <v>54</v>
      </c>
      <c r="B55" s="1">
        <f ca="1">Retailer!H54</f>
        <v>19</v>
      </c>
      <c r="C55" s="1">
        <f ca="1">ROUNDUP(AVERAGE(Distributor!B53,Distributor!B54),0)</f>
        <v>11</v>
      </c>
      <c r="D55" s="1">
        <f t="shared" ca="1" si="12"/>
        <v>33</v>
      </c>
      <c r="E55" s="1">
        <f ca="1">Manufacturer!J54</f>
        <v>0</v>
      </c>
      <c r="F55" s="1">
        <f ca="1">IF(A55=1,'Data Considered'!$B$5,Distributor!L54+Distributor!E55)</f>
        <v>71</v>
      </c>
      <c r="G55" s="1">
        <f t="shared" ca="1" si="14"/>
        <v>71</v>
      </c>
      <c r="H55" s="1">
        <f t="shared" ca="1" si="15"/>
        <v>0</v>
      </c>
      <c r="I55" s="1">
        <f t="shared" ca="1" si="4"/>
        <v>71</v>
      </c>
      <c r="J55" s="1">
        <f t="shared" ca="1" si="11"/>
        <v>19</v>
      </c>
      <c r="K55" s="1">
        <f t="shared" ca="1" si="16"/>
        <v>0</v>
      </c>
      <c r="L55" s="1">
        <f t="shared" ca="1" si="13"/>
        <v>52</v>
      </c>
      <c r="M55" s="1">
        <f ca="1">J55*'Data Considered'!$B$9</f>
        <v>2660</v>
      </c>
      <c r="N55" s="1">
        <f ca="1">Retailer!P55</f>
        <v>0</v>
      </c>
      <c r="O55" s="1">
        <f ca="1">E55*'Data Considered'!$B$10</f>
        <v>0</v>
      </c>
      <c r="P55" s="1">
        <f ca="1">IF(A55&gt;'Data Considered'!$B$15,OFFSET(Distributor!O55,-'Data Considered'!$B$15,0),0)</f>
        <v>0</v>
      </c>
      <c r="Q55" s="1">
        <f t="shared" ca="1" si="6"/>
        <v>-653</v>
      </c>
      <c r="R55" s="1">
        <f ca="1">IF(A55=1,'Data Considered'!$B$17,Distributor!R54+Distributor!Q55)</f>
        <v>46870</v>
      </c>
      <c r="S55" s="1">
        <f ca="1">J55*'Data Considered'!$D$9</f>
        <v>133</v>
      </c>
      <c r="T55" s="1">
        <f ca="1">L55*'Data Considered'!$B$21</f>
        <v>520</v>
      </c>
      <c r="U55" s="1">
        <f ca="1">K55*'Data Considered'!$B$25</f>
        <v>0</v>
      </c>
      <c r="V55" s="1">
        <f t="shared" ca="1" si="7"/>
        <v>3</v>
      </c>
      <c r="W55" s="1">
        <f ca="1">V55+'Data Considered'!$B$14-'Data Considered'!$B$15</f>
        <v>3</v>
      </c>
      <c r="X55" s="1">
        <f t="shared" ca="1" si="8"/>
        <v>133</v>
      </c>
      <c r="Y55" s="1">
        <f t="shared" ca="1" si="9"/>
        <v>0</v>
      </c>
    </row>
    <row r="56" spans="1:25" x14ac:dyDescent="0.3">
      <c r="A56" s="1">
        <f t="shared" si="10"/>
        <v>55</v>
      </c>
      <c r="B56" s="1">
        <f ca="1">Retailer!H55</f>
        <v>22</v>
      </c>
      <c r="C56" s="1">
        <f ca="1">ROUNDUP(AVERAGE(Distributor!B54,Distributor!B55),0)</f>
        <v>18</v>
      </c>
      <c r="D56" s="1">
        <f t="shared" ca="1" si="12"/>
        <v>54</v>
      </c>
      <c r="E56" s="1">
        <f ca="1">Manufacturer!J55</f>
        <v>0</v>
      </c>
      <c r="F56" s="1">
        <f ca="1">IF(A56=1,'Data Considered'!$B$5,Distributor!L55+Distributor!E56)</f>
        <v>52</v>
      </c>
      <c r="G56" s="1">
        <f t="shared" ca="1" si="14"/>
        <v>52</v>
      </c>
      <c r="H56" s="1">
        <f t="shared" ca="1" si="15"/>
        <v>2</v>
      </c>
      <c r="I56" s="1">
        <f t="shared" ca="1" si="4"/>
        <v>52</v>
      </c>
      <c r="J56" s="1">
        <f t="shared" ca="1" si="11"/>
        <v>22</v>
      </c>
      <c r="K56" s="1">
        <f t="shared" ca="1" si="16"/>
        <v>0</v>
      </c>
      <c r="L56" s="1">
        <f t="shared" ca="1" si="13"/>
        <v>30</v>
      </c>
      <c r="M56" s="1">
        <f ca="1">J56*'Data Considered'!$B$9</f>
        <v>3080</v>
      </c>
      <c r="N56" s="1">
        <f ca="1">Retailer!P56</f>
        <v>0</v>
      </c>
      <c r="O56" s="1">
        <f ca="1">E56*'Data Considered'!$B$10</f>
        <v>0</v>
      </c>
      <c r="P56" s="1">
        <f ca="1">IF(A56&gt;'Data Considered'!$B$15,OFFSET(Distributor!O56,-'Data Considered'!$B$15,0),0)</f>
        <v>8700</v>
      </c>
      <c r="Q56" s="1">
        <f t="shared" ca="1" si="6"/>
        <v>-9154</v>
      </c>
      <c r="R56" s="1">
        <f ca="1">IF(A56=1,'Data Considered'!$B$17,Distributor!R55+Distributor!Q56)</f>
        <v>37716</v>
      </c>
      <c r="S56" s="1">
        <f ca="1">J56*'Data Considered'!$D$9</f>
        <v>154</v>
      </c>
      <c r="T56" s="1">
        <f ca="1">L56*'Data Considered'!$B$21</f>
        <v>300</v>
      </c>
      <c r="U56" s="1">
        <f ca="1">K56*'Data Considered'!$B$25</f>
        <v>0</v>
      </c>
      <c r="V56" s="1">
        <f t="shared" ca="1" si="7"/>
        <v>2</v>
      </c>
      <c r="W56" s="1">
        <f ca="1">V56+'Data Considered'!$B$14-'Data Considered'!$B$15</f>
        <v>2</v>
      </c>
      <c r="X56" s="1">
        <f t="shared" ca="1" si="8"/>
        <v>8854</v>
      </c>
      <c r="Y56" s="1">
        <f t="shared" ca="1" si="9"/>
        <v>2240</v>
      </c>
    </row>
    <row r="57" spans="1:25" x14ac:dyDescent="0.3">
      <c r="A57" s="1">
        <f t="shared" si="10"/>
        <v>56</v>
      </c>
      <c r="B57" s="1">
        <f ca="1">Retailer!H56</f>
        <v>28</v>
      </c>
      <c r="C57" s="1">
        <f ca="1">ROUNDUP(AVERAGE(Distributor!B55,Distributor!B56),0)</f>
        <v>21</v>
      </c>
      <c r="D57" s="1">
        <f t="shared" ca="1" si="12"/>
        <v>63</v>
      </c>
      <c r="E57" s="1">
        <f ca="1">Manufacturer!J56</f>
        <v>0</v>
      </c>
      <c r="F57" s="1">
        <f ca="1">IF(A57=1,'Data Considered'!$B$5,Distributor!L56+Distributor!E57)</f>
        <v>30</v>
      </c>
      <c r="G57" s="1">
        <f t="shared" ca="1" si="14"/>
        <v>32</v>
      </c>
      <c r="H57" s="1">
        <f t="shared" ca="1" si="15"/>
        <v>31</v>
      </c>
      <c r="I57" s="1">
        <f t="shared" ca="1" si="4"/>
        <v>30</v>
      </c>
      <c r="J57" s="1">
        <f t="shared" ca="1" si="11"/>
        <v>28</v>
      </c>
      <c r="K57" s="1">
        <f t="shared" ca="1" si="16"/>
        <v>0</v>
      </c>
      <c r="L57" s="1">
        <f t="shared" ca="1" si="13"/>
        <v>2</v>
      </c>
      <c r="M57" s="1">
        <f ca="1">J57*'Data Considered'!$B$9</f>
        <v>3920</v>
      </c>
      <c r="N57" s="1">
        <f ca="1">Retailer!P57</f>
        <v>2240</v>
      </c>
      <c r="O57" s="1">
        <f ca="1">E57*'Data Considered'!$B$10</f>
        <v>0</v>
      </c>
      <c r="P57" s="1">
        <f ca="1">IF(A57&gt;'Data Considered'!$B$15,OFFSET(Distributor!O57,-'Data Considered'!$B$15,0),0)</f>
        <v>0</v>
      </c>
      <c r="Q57" s="1">
        <f t="shared" ca="1" si="6"/>
        <v>2024</v>
      </c>
      <c r="R57" s="1">
        <f ca="1">IF(A57=1,'Data Considered'!$B$17,Distributor!R56+Distributor!Q57)</f>
        <v>39740</v>
      </c>
      <c r="S57" s="1">
        <f ca="1">J57*'Data Considered'!$D$9</f>
        <v>196</v>
      </c>
      <c r="T57" s="1">
        <f ca="1">L57*'Data Considered'!$B$21</f>
        <v>20</v>
      </c>
      <c r="U57" s="1">
        <f ca="1">K57*'Data Considered'!$B$25</f>
        <v>0</v>
      </c>
      <c r="V57" s="1">
        <f t="shared" ca="1" si="7"/>
        <v>1</v>
      </c>
      <c r="W57" s="1">
        <f ca="1">V57+'Data Considered'!$B$14-'Data Considered'!$B$15</f>
        <v>1</v>
      </c>
      <c r="X57" s="1">
        <f t="shared" ca="1" si="8"/>
        <v>196</v>
      </c>
      <c r="Y57" s="1">
        <f t="shared" ca="1" si="9"/>
        <v>2660</v>
      </c>
    </row>
    <row r="58" spans="1:25" x14ac:dyDescent="0.3">
      <c r="A58" s="1">
        <f t="shared" si="10"/>
        <v>57</v>
      </c>
      <c r="B58" s="1">
        <f ca="1">Retailer!H57</f>
        <v>6</v>
      </c>
      <c r="C58" s="1">
        <f ca="1">ROUNDUP(AVERAGE(Distributor!B56,Distributor!B57),0)</f>
        <v>25</v>
      </c>
      <c r="D58" s="1">
        <f t="shared" ca="1" si="12"/>
        <v>75</v>
      </c>
      <c r="E58" s="1">
        <f ca="1">Manufacturer!J57</f>
        <v>2</v>
      </c>
      <c r="F58" s="1">
        <f ca="1">IF(A58=1,'Data Considered'!$B$5,Distributor!L57+Distributor!E58)</f>
        <v>4</v>
      </c>
      <c r="G58" s="1">
        <f t="shared" ca="1" si="14"/>
        <v>35</v>
      </c>
      <c r="H58" s="1">
        <f t="shared" ca="1" si="15"/>
        <v>40</v>
      </c>
      <c r="I58" s="1">
        <f t="shared" ca="1" si="4"/>
        <v>4</v>
      </c>
      <c r="J58" s="1">
        <f t="shared" ca="1" si="11"/>
        <v>4</v>
      </c>
      <c r="K58" s="1">
        <f t="shared" ca="1" si="16"/>
        <v>2</v>
      </c>
      <c r="L58" s="1">
        <f t="shared" ca="1" si="13"/>
        <v>0</v>
      </c>
      <c r="M58" s="1">
        <f ca="1">J58*'Data Considered'!$B$9</f>
        <v>560</v>
      </c>
      <c r="N58" s="1">
        <f ca="1">Retailer!P58</f>
        <v>2660</v>
      </c>
      <c r="O58" s="1">
        <f ca="1">E58*'Data Considered'!$B$10</f>
        <v>200</v>
      </c>
      <c r="P58" s="1">
        <f ca="1">IF(A58&gt;'Data Considered'!$B$15,OFFSET(Distributor!O58,-'Data Considered'!$B$15,0),0)</f>
        <v>0</v>
      </c>
      <c r="Q58" s="1">
        <f t="shared" ca="1" si="6"/>
        <v>2632</v>
      </c>
      <c r="R58" s="1">
        <f ca="1">IF(A58=1,'Data Considered'!$B$17,Distributor!R57+Distributor!Q58)</f>
        <v>42372</v>
      </c>
      <c r="S58" s="1">
        <f ca="1">J58*'Data Considered'!$D$9</f>
        <v>28</v>
      </c>
      <c r="T58" s="1">
        <f ca="1">L58*'Data Considered'!$B$21</f>
        <v>0</v>
      </c>
      <c r="U58" s="1">
        <f ca="1">K58*'Data Considered'!$B$25</f>
        <v>60</v>
      </c>
      <c r="V58" s="1">
        <f t="shared" ca="1" si="7"/>
        <v>0</v>
      </c>
      <c r="W58" s="1">
        <f ca="1">V58+'Data Considered'!$B$14-'Data Considered'!$B$15</f>
        <v>0</v>
      </c>
      <c r="X58" s="1">
        <f t="shared" ca="1" si="8"/>
        <v>28</v>
      </c>
      <c r="Y58" s="1">
        <f t="shared" ca="1" si="9"/>
        <v>3080</v>
      </c>
    </row>
    <row r="59" spans="1:25" x14ac:dyDescent="0.3">
      <c r="A59" s="1">
        <f t="shared" si="10"/>
        <v>58</v>
      </c>
      <c r="B59" s="1">
        <f ca="1">Retailer!H58</f>
        <v>10</v>
      </c>
      <c r="C59" s="1">
        <f ca="1">ROUNDUP(AVERAGE(Distributor!B57,Distributor!B58),0)</f>
        <v>17</v>
      </c>
      <c r="D59" s="1">
        <f t="shared" ca="1" si="12"/>
        <v>51</v>
      </c>
      <c r="E59" s="1">
        <f ca="1">Manufacturer!J58</f>
        <v>31</v>
      </c>
      <c r="F59" s="1">
        <f ca="1">IF(A59=1,'Data Considered'!$B$5,Distributor!L58+Distributor!E59)</f>
        <v>31</v>
      </c>
      <c r="G59" s="1">
        <f t="shared" ca="1" si="14"/>
        <v>71</v>
      </c>
      <c r="H59" s="1">
        <f t="shared" ca="1" si="15"/>
        <v>0</v>
      </c>
      <c r="I59" s="1">
        <f t="shared" ca="1" si="4"/>
        <v>31</v>
      </c>
      <c r="J59" s="1">
        <f t="shared" ca="1" si="11"/>
        <v>10</v>
      </c>
      <c r="K59" s="1">
        <f t="shared" ca="1" si="16"/>
        <v>0</v>
      </c>
      <c r="L59" s="1">
        <f t="shared" ca="1" si="13"/>
        <v>21</v>
      </c>
      <c r="M59" s="1">
        <f ca="1">J59*'Data Considered'!$B$9</f>
        <v>1400</v>
      </c>
      <c r="N59" s="1">
        <f ca="1">Retailer!P59</f>
        <v>3080</v>
      </c>
      <c r="O59" s="1">
        <f ca="1">E59*'Data Considered'!$B$10</f>
        <v>3100</v>
      </c>
      <c r="P59" s="1">
        <f ca="1">IF(A59&gt;'Data Considered'!$B$15,OFFSET(Distributor!O59,-'Data Considered'!$B$15,0),0)</f>
        <v>0</v>
      </c>
      <c r="Q59" s="1">
        <f t="shared" ca="1" si="6"/>
        <v>2800</v>
      </c>
      <c r="R59" s="1">
        <f ca="1">IF(A59=1,'Data Considered'!$B$17,Distributor!R58+Distributor!Q59)</f>
        <v>45172</v>
      </c>
      <c r="S59" s="1">
        <f ca="1">J59*'Data Considered'!$D$9</f>
        <v>70</v>
      </c>
      <c r="T59" s="1">
        <f ca="1">L59*'Data Considered'!$B$21</f>
        <v>210</v>
      </c>
      <c r="U59" s="1">
        <f ca="1">K59*'Data Considered'!$B$25</f>
        <v>0</v>
      </c>
      <c r="V59" s="1">
        <f t="shared" ca="1" si="7"/>
        <v>2</v>
      </c>
      <c r="W59" s="1">
        <f ca="1">V59+'Data Considered'!$B$14-'Data Considered'!$B$15</f>
        <v>2</v>
      </c>
      <c r="X59" s="1">
        <f t="shared" ca="1" si="8"/>
        <v>70</v>
      </c>
      <c r="Y59" s="1">
        <f t="shared" ca="1" si="9"/>
        <v>3920</v>
      </c>
    </row>
    <row r="60" spans="1:25" x14ac:dyDescent="0.3">
      <c r="A60" s="1">
        <f t="shared" si="10"/>
        <v>59</v>
      </c>
      <c r="B60" s="1">
        <f ca="1">Retailer!H59</f>
        <v>16</v>
      </c>
      <c r="C60" s="1">
        <f ca="1">ROUNDUP(AVERAGE(Distributor!B58,Distributor!B59),0)</f>
        <v>8</v>
      </c>
      <c r="D60" s="1">
        <f t="shared" ca="1" si="12"/>
        <v>24</v>
      </c>
      <c r="E60" s="1">
        <f ca="1">Manufacturer!J59</f>
        <v>40</v>
      </c>
      <c r="F60" s="1">
        <f ca="1">IF(A60=1,'Data Considered'!$B$5,Distributor!L59+Distributor!E60)</f>
        <v>61</v>
      </c>
      <c r="G60" s="1">
        <f t="shared" ca="1" si="14"/>
        <v>61</v>
      </c>
      <c r="H60" s="1">
        <f t="shared" ca="1" si="15"/>
        <v>0</v>
      </c>
      <c r="I60" s="1">
        <f t="shared" ca="1" si="4"/>
        <v>61</v>
      </c>
      <c r="J60" s="1">
        <f t="shared" ca="1" si="11"/>
        <v>16</v>
      </c>
      <c r="K60" s="1">
        <f t="shared" ca="1" si="16"/>
        <v>0</v>
      </c>
      <c r="L60" s="1">
        <f t="shared" ca="1" si="13"/>
        <v>45</v>
      </c>
      <c r="M60" s="1">
        <f ca="1">J60*'Data Considered'!$B$9</f>
        <v>2240</v>
      </c>
      <c r="N60" s="1">
        <f ca="1">Retailer!P60</f>
        <v>3920</v>
      </c>
      <c r="O60" s="1">
        <f ca="1">E60*'Data Considered'!$B$10</f>
        <v>4000</v>
      </c>
      <c r="P60" s="1">
        <f ca="1">IF(A60&gt;'Data Considered'!$B$15,OFFSET(Distributor!O60,-'Data Considered'!$B$15,0),0)</f>
        <v>200</v>
      </c>
      <c r="Q60" s="1">
        <f t="shared" ca="1" si="6"/>
        <v>3158</v>
      </c>
      <c r="R60" s="1">
        <f ca="1">IF(A60=1,'Data Considered'!$B$17,Distributor!R59+Distributor!Q60)</f>
        <v>48330</v>
      </c>
      <c r="S60" s="1">
        <f ca="1">J60*'Data Considered'!$D$9</f>
        <v>112</v>
      </c>
      <c r="T60" s="1">
        <f ca="1">L60*'Data Considered'!$B$21</f>
        <v>450</v>
      </c>
      <c r="U60" s="1">
        <f ca="1">K60*'Data Considered'!$B$25</f>
        <v>0</v>
      </c>
      <c r="V60" s="1">
        <f t="shared" ca="1" si="7"/>
        <v>3</v>
      </c>
      <c r="W60" s="1">
        <f ca="1">V60+'Data Considered'!$B$14-'Data Considered'!$B$15</f>
        <v>3</v>
      </c>
      <c r="X60" s="1">
        <f t="shared" ca="1" si="8"/>
        <v>312</v>
      </c>
      <c r="Y60" s="1">
        <f t="shared" ca="1" si="9"/>
        <v>560</v>
      </c>
    </row>
    <row r="61" spans="1:25" x14ac:dyDescent="0.3">
      <c r="A61" s="1">
        <f t="shared" si="10"/>
        <v>60</v>
      </c>
      <c r="B61" s="1">
        <f ca="1">Retailer!H60</f>
        <v>29</v>
      </c>
      <c r="C61" s="1">
        <f ca="1">ROUNDUP(AVERAGE(Distributor!B59,Distributor!B60),0)</f>
        <v>13</v>
      </c>
      <c r="D61" s="1">
        <f t="shared" ca="1" si="12"/>
        <v>39</v>
      </c>
      <c r="E61" s="1">
        <f ca="1">Manufacturer!J60</f>
        <v>0</v>
      </c>
      <c r="F61" s="1">
        <f ca="1">IF(A61=1,'Data Considered'!$B$5,Distributor!L60+Distributor!E61)</f>
        <v>45</v>
      </c>
      <c r="G61" s="1">
        <f t="shared" ca="1" si="14"/>
        <v>45</v>
      </c>
      <c r="H61" s="1">
        <f t="shared" ca="1" si="15"/>
        <v>0</v>
      </c>
      <c r="I61" s="1">
        <f t="shared" ca="1" si="4"/>
        <v>45</v>
      </c>
      <c r="J61" s="1">
        <f t="shared" ca="1" si="11"/>
        <v>29</v>
      </c>
      <c r="K61" s="1">
        <f t="shared" ca="1" si="16"/>
        <v>0</v>
      </c>
      <c r="L61" s="1">
        <f t="shared" ca="1" si="13"/>
        <v>16</v>
      </c>
      <c r="M61" s="1">
        <f ca="1">J61*'Data Considered'!$B$9</f>
        <v>4060</v>
      </c>
      <c r="N61" s="1">
        <f ca="1">Retailer!P61</f>
        <v>560</v>
      </c>
      <c r="O61" s="1">
        <f ca="1">E61*'Data Considered'!$B$10</f>
        <v>0</v>
      </c>
      <c r="P61" s="1">
        <f ca="1">IF(A61&gt;'Data Considered'!$B$15,OFFSET(Distributor!O61,-'Data Considered'!$B$15,0),0)</f>
        <v>3100</v>
      </c>
      <c r="Q61" s="1">
        <f t="shared" ca="1" si="6"/>
        <v>-2903</v>
      </c>
      <c r="R61" s="1">
        <f ca="1">IF(A61=1,'Data Considered'!$B$17,Distributor!R60+Distributor!Q61)</f>
        <v>45427</v>
      </c>
      <c r="S61" s="1">
        <f ca="1">J61*'Data Considered'!$D$9</f>
        <v>203</v>
      </c>
      <c r="T61" s="1">
        <f ca="1">L61*'Data Considered'!$B$21</f>
        <v>160</v>
      </c>
      <c r="U61" s="1">
        <f ca="1">K61*'Data Considered'!$B$25</f>
        <v>0</v>
      </c>
      <c r="V61" s="1">
        <f t="shared" ca="1" si="7"/>
        <v>1</v>
      </c>
      <c r="W61" s="1">
        <f ca="1">V61+'Data Considered'!$B$14-'Data Considered'!$B$15</f>
        <v>1</v>
      </c>
      <c r="X61" s="1">
        <f t="shared" ca="1" si="8"/>
        <v>3303</v>
      </c>
      <c r="Y61" s="1">
        <f t="shared" ca="1" si="9"/>
        <v>1400</v>
      </c>
    </row>
    <row r="62" spans="1:25" x14ac:dyDescent="0.3">
      <c r="A62" s="1">
        <f t="shared" si="10"/>
        <v>61</v>
      </c>
      <c r="B62" s="1">
        <f ca="1">Retailer!H61</f>
        <v>18</v>
      </c>
      <c r="C62" s="1">
        <f ca="1">ROUNDUP(AVERAGE(Distributor!B60,Distributor!B61),0)</f>
        <v>23</v>
      </c>
      <c r="D62" s="1">
        <f t="shared" ca="1" si="12"/>
        <v>69</v>
      </c>
      <c r="E62" s="1">
        <f ca="1">Manufacturer!J61</f>
        <v>0</v>
      </c>
      <c r="F62" s="1">
        <f ca="1">IF(A62=1,'Data Considered'!$B$5,Distributor!L61+Distributor!E62)</f>
        <v>16</v>
      </c>
      <c r="G62" s="1">
        <f t="shared" ca="1" si="14"/>
        <v>16</v>
      </c>
      <c r="H62" s="1">
        <f t="shared" ca="1" si="15"/>
        <v>53</v>
      </c>
      <c r="I62" s="1">
        <f t="shared" ca="1" si="4"/>
        <v>16</v>
      </c>
      <c r="J62" s="1">
        <f t="shared" ca="1" si="11"/>
        <v>16</v>
      </c>
      <c r="K62" s="1">
        <f t="shared" ca="1" si="16"/>
        <v>2</v>
      </c>
      <c r="L62" s="1">
        <f t="shared" ca="1" si="13"/>
        <v>0</v>
      </c>
      <c r="M62" s="1">
        <f ca="1">J62*'Data Considered'!$B$9</f>
        <v>2240</v>
      </c>
      <c r="N62" s="1">
        <f ca="1">Retailer!P62</f>
        <v>1400</v>
      </c>
      <c r="O62" s="1">
        <f ca="1">E62*'Data Considered'!$B$10</f>
        <v>0</v>
      </c>
      <c r="P62" s="1">
        <f ca="1">IF(A62&gt;'Data Considered'!$B$15,OFFSET(Distributor!O62,-'Data Considered'!$B$15,0),0)</f>
        <v>4000</v>
      </c>
      <c r="Q62" s="1">
        <f t="shared" ca="1" si="6"/>
        <v>-2712</v>
      </c>
      <c r="R62" s="1">
        <f ca="1">IF(A62=1,'Data Considered'!$B$17,Distributor!R61+Distributor!Q62)</f>
        <v>42715</v>
      </c>
      <c r="S62" s="1">
        <f ca="1">J62*'Data Considered'!$D$9</f>
        <v>112</v>
      </c>
      <c r="T62" s="1">
        <f ca="1">L62*'Data Considered'!$B$21</f>
        <v>0</v>
      </c>
      <c r="U62" s="1">
        <f ca="1">K62*'Data Considered'!$B$25</f>
        <v>60</v>
      </c>
      <c r="V62" s="1">
        <f t="shared" ca="1" si="7"/>
        <v>0</v>
      </c>
      <c r="W62" s="1">
        <f ca="1">V62+'Data Considered'!$B$14-'Data Considered'!$B$15</f>
        <v>0</v>
      </c>
      <c r="X62" s="1">
        <f t="shared" ca="1" si="8"/>
        <v>4112</v>
      </c>
      <c r="Y62" s="1">
        <f t="shared" ca="1" si="9"/>
        <v>2240</v>
      </c>
    </row>
    <row r="63" spans="1:25" x14ac:dyDescent="0.3">
      <c r="A63" s="1">
        <f t="shared" si="10"/>
        <v>62</v>
      </c>
      <c r="B63" s="1">
        <f ca="1">Retailer!H62</f>
        <v>10</v>
      </c>
      <c r="C63" s="1">
        <f ca="1">ROUNDUP(AVERAGE(Distributor!B61,Distributor!B62),0)</f>
        <v>24</v>
      </c>
      <c r="D63" s="1">
        <f t="shared" ca="1" si="12"/>
        <v>72</v>
      </c>
      <c r="E63" s="1">
        <f ca="1">Manufacturer!J62</f>
        <v>0</v>
      </c>
      <c r="F63" s="1">
        <f ca="1">IF(A63=1,'Data Considered'!$B$5,Distributor!L62+Distributor!E63)</f>
        <v>0</v>
      </c>
      <c r="G63" s="1">
        <f t="shared" ca="1" si="14"/>
        <v>53</v>
      </c>
      <c r="H63" s="1">
        <f t="shared" ca="1" si="15"/>
        <v>19</v>
      </c>
      <c r="I63" s="1">
        <f t="shared" ca="1" si="4"/>
        <v>0</v>
      </c>
      <c r="J63" s="1">
        <f t="shared" ca="1" si="11"/>
        <v>0</v>
      </c>
      <c r="K63" s="1">
        <f t="shared" ca="1" si="16"/>
        <v>10</v>
      </c>
      <c r="L63" s="1">
        <f t="shared" ca="1" si="13"/>
        <v>0</v>
      </c>
      <c r="M63" s="1">
        <f ca="1">J63*'Data Considered'!$B$9</f>
        <v>0</v>
      </c>
      <c r="N63" s="1">
        <f ca="1">Retailer!P63</f>
        <v>2240</v>
      </c>
      <c r="O63" s="1">
        <f ca="1">E63*'Data Considered'!$B$10</f>
        <v>0</v>
      </c>
      <c r="P63" s="1">
        <f ca="1">IF(A63&gt;'Data Considered'!$B$15,OFFSET(Distributor!O63,-'Data Considered'!$B$15,0),0)</f>
        <v>0</v>
      </c>
      <c r="Q63" s="1">
        <f t="shared" ca="1" si="6"/>
        <v>2240</v>
      </c>
      <c r="R63" s="1">
        <f ca="1">IF(A63=1,'Data Considered'!$B$17,Distributor!R62+Distributor!Q63)</f>
        <v>44955</v>
      </c>
      <c r="S63" s="1">
        <f ca="1">J63*'Data Considered'!$D$9</f>
        <v>0</v>
      </c>
      <c r="T63" s="1">
        <f ca="1">L63*'Data Considered'!$B$21</f>
        <v>0</v>
      </c>
      <c r="U63" s="1">
        <f ca="1">K63*'Data Considered'!$B$25</f>
        <v>300</v>
      </c>
      <c r="V63" s="1">
        <f t="shared" ca="1" si="7"/>
        <v>0</v>
      </c>
      <c r="W63" s="1">
        <f ca="1">V63+'Data Considered'!$B$14-'Data Considered'!$B$15</f>
        <v>0</v>
      </c>
      <c r="X63" s="1">
        <f t="shared" ca="1" si="8"/>
        <v>0</v>
      </c>
      <c r="Y63" s="1">
        <f t="shared" ca="1" si="9"/>
        <v>4060</v>
      </c>
    </row>
    <row r="64" spans="1:25" x14ac:dyDescent="0.3">
      <c r="A64" s="1">
        <f t="shared" si="10"/>
        <v>63</v>
      </c>
      <c r="B64" s="1">
        <f ca="1">Retailer!H63</f>
        <v>49</v>
      </c>
      <c r="C64" s="1">
        <f ca="1">ROUNDUP(AVERAGE(Distributor!B62,Distributor!B63),0)</f>
        <v>14</v>
      </c>
      <c r="D64" s="1">
        <f t="shared" ca="1" si="12"/>
        <v>42</v>
      </c>
      <c r="E64" s="1">
        <f ca="1">Manufacturer!J63</f>
        <v>53</v>
      </c>
      <c r="F64" s="1">
        <f ca="1">IF(A64=1,'Data Considered'!$B$5,Distributor!L63+Distributor!E64)</f>
        <v>53</v>
      </c>
      <c r="G64" s="1">
        <f t="shared" ca="1" si="14"/>
        <v>72</v>
      </c>
      <c r="H64" s="1">
        <f t="shared" ca="1" si="15"/>
        <v>0</v>
      </c>
      <c r="I64" s="1">
        <f t="shared" ca="1" si="4"/>
        <v>53</v>
      </c>
      <c r="J64" s="1">
        <f t="shared" ca="1" si="11"/>
        <v>49</v>
      </c>
      <c r="K64" s="1">
        <f t="shared" ca="1" si="16"/>
        <v>0</v>
      </c>
      <c r="L64" s="1">
        <f t="shared" ca="1" si="13"/>
        <v>4</v>
      </c>
      <c r="M64" s="1">
        <f ca="1">J64*'Data Considered'!$B$9</f>
        <v>6860</v>
      </c>
      <c r="N64" s="1">
        <f ca="1">Retailer!P64</f>
        <v>4060</v>
      </c>
      <c r="O64" s="1">
        <f ca="1">E64*'Data Considered'!$B$10</f>
        <v>5300</v>
      </c>
      <c r="P64" s="1">
        <f ca="1">IF(A64&gt;'Data Considered'!$B$15,OFFSET(Distributor!O64,-'Data Considered'!$B$15,0),0)</f>
        <v>0</v>
      </c>
      <c r="Q64" s="1">
        <f t="shared" ca="1" si="6"/>
        <v>3677</v>
      </c>
      <c r="R64" s="1">
        <f ca="1">IF(A64=1,'Data Considered'!$B$17,Distributor!R63+Distributor!Q64)</f>
        <v>48632</v>
      </c>
      <c r="S64" s="1">
        <f ca="1">J64*'Data Considered'!$D$9</f>
        <v>343</v>
      </c>
      <c r="T64" s="1">
        <f ca="1">L64*'Data Considered'!$B$21</f>
        <v>40</v>
      </c>
      <c r="U64" s="1">
        <f ca="1">K64*'Data Considered'!$B$25</f>
        <v>0</v>
      </c>
      <c r="V64" s="1">
        <f t="shared" ca="1" si="7"/>
        <v>1</v>
      </c>
      <c r="W64" s="1">
        <f ca="1">V64+'Data Considered'!$B$14-'Data Considered'!$B$15</f>
        <v>1</v>
      </c>
      <c r="X64" s="1">
        <f t="shared" ca="1" si="8"/>
        <v>343</v>
      </c>
      <c r="Y64" s="1">
        <f t="shared" ca="1" si="9"/>
        <v>2240</v>
      </c>
    </row>
    <row r="65" spans="1:25" x14ac:dyDescent="0.3">
      <c r="A65" s="1">
        <f t="shared" si="10"/>
        <v>64</v>
      </c>
      <c r="B65" s="1">
        <f ca="1">Retailer!H64</f>
        <v>14</v>
      </c>
      <c r="C65" s="1">
        <f ca="1">ROUNDUP(AVERAGE(Distributor!B63,Distributor!B64),0)</f>
        <v>30</v>
      </c>
      <c r="D65" s="1">
        <f t="shared" ca="1" si="12"/>
        <v>90</v>
      </c>
      <c r="E65" s="1">
        <f ca="1">Manufacturer!J64</f>
        <v>19</v>
      </c>
      <c r="F65" s="1">
        <f ca="1">IF(A65=1,'Data Considered'!$B$5,Distributor!L64+Distributor!E65)</f>
        <v>23</v>
      </c>
      <c r="G65" s="1">
        <f t="shared" ca="1" si="14"/>
        <v>23</v>
      </c>
      <c r="H65" s="1">
        <f t="shared" ca="1" si="15"/>
        <v>67</v>
      </c>
      <c r="I65" s="1">
        <f t="shared" ca="1" si="4"/>
        <v>23</v>
      </c>
      <c r="J65" s="1">
        <f t="shared" ca="1" si="11"/>
        <v>14</v>
      </c>
      <c r="K65" s="1">
        <f t="shared" ca="1" si="16"/>
        <v>0</v>
      </c>
      <c r="L65" s="1">
        <f t="shared" ca="1" si="13"/>
        <v>9</v>
      </c>
      <c r="M65" s="1">
        <f ca="1">J65*'Data Considered'!$B$9</f>
        <v>1960</v>
      </c>
      <c r="N65" s="1">
        <f ca="1">Retailer!P65</f>
        <v>2240</v>
      </c>
      <c r="O65" s="1">
        <f ca="1">E65*'Data Considered'!$B$10</f>
        <v>1900</v>
      </c>
      <c r="P65" s="1">
        <f ca="1">IF(A65&gt;'Data Considered'!$B$15,OFFSET(Distributor!O65,-'Data Considered'!$B$15,0),0)</f>
        <v>0</v>
      </c>
      <c r="Q65" s="1">
        <f t="shared" ca="1" si="6"/>
        <v>2052</v>
      </c>
      <c r="R65" s="1">
        <f ca="1">IF(A65=1,'Data Considered'!$B$17,Distributor!R64+Distributor!Q65)</f>
        <v>50684</v>
      </c>
      <c r="S65" s="1">
        <f ca="1">J65*'Data Considered'!$D$9</f>
        <v>98</v>
      </c>
      <c r="T65" s="1">
        <f ca="1">L65*'Data Considered'!$B$21</f>
        <v>90</v>
      </c>
      <c r="U65" s="1">
        <f ca="1">K65*'Data Considered'!$B$25</f>
        <v>0</v>
      </c>
      <c r="V65" s="1">
        <f t="shared" ca="1" si="7"/>
        <v>1</v>
      </c>
      <c r="W65" s="1">
        <f ca="1">V65+'Data Considered'!$B$14-'Data Considered'!$B$15</f>
        <v>1</v>
      </c>
      <c r="X65" s="1">
        <f t="shared" ca="1" si="8"/>
        <v>98</v>
      </c>
      <c r="Y65" s="1">
        <f t="shared" ca="1" si="9"/>
        <v>0</v>
      </c>
    </row>
    <row r="66" spans="1:25" x14ac:dyDescent="0.3">
      <c r="A66" s="1">
        <f t="shared" si="10"/>
        <v>65</v>
      </c>
      <c r="B66" s="1">
        <f ca="1">Retailer!H65</f>
        <v>0</v>
      </c>
      <c r="C66" s="1">
        <f ca="1">ROUNDUP(AVERAGE(Distributor!B64,Distributor!B65),0)</f>
        <v>32</v>
      </c>
      <c r="D66" s="1">
        <f t="shared" ca="1" si="12"/>
        <v>96</v>
      </c>
      <c r="E66" s="1">
        <f ca="1">Manufacturer!J65</f>
        <v>0</v>
      </c>
      <c r="F66" s="1">
        <f ca="1">IF(A66=1,'Data Considered'!$B$5,Distributor!L65+Distributor!E66)</f>
        <v>9</v>
      </c>
      <c r="G66" s="1">
        <f t="shared" ref="G66:G97" ca="1" si="17">F66+IF(A66&gt;1,H65,0)</f>
        <v>76</v>
      </c>
      <c r="H66" s="1">
        <f t="shared" ref="H66:H97" ca="1" si="18">IF(D66&gt;G66,D66-G66,0)</f>
        <v>20</v>
      </c>
      <c r="I66" s="1">
        <f t="shared" ca="1" si="4"/>
        <v>9</v>
      </c>
      <c r="J66" s="1">
        <f t="shared" ca="1" si="11"/>
        <v>0</v>
      </c>
      <c r="K66" s="1">
        <f t="shared" ref="K66:K97" ca="1" si="19">B66-J66</f>
        <v>0</v>
      </c>
      <c r="L66" s="1">
        <f t="shared" ca="1" si="13"/>
        <v>9</v>
      </c>
      <c r="M66" s="1">
        <f ca="1">J66*'Data Considered'!$B$9</f>
        <v>0</v>
      </c>
      <c r="N66" s="1">
        <f ca="1">Retailer!P66</f>
        <v>0</v>
      </c>
      <c r="O66" s="1">
        <f ca="1">E66*'Data Considered'!$B$10</f>
        <v>0</v>
      </c>
      <c r="P66" s="1">
        <f ca="1">IF(A66&gt;'Data Considered'!$B$15,OFFSET(Distributor!O66,-'Data Considered'!$B$15,0),0)</f>
        <v>5300</v>
      </c>
      <c r="Q66" s="1">
        <f t="shared" ca="1" si="6"/>
        <v>-5390</v>
      </c>
      <c r="R66" s="1">
        <f ca="1">IF(A66=1,'Data Considered'!$B$17,Distributor!R65+Distributor!Q66)</f>
        <v>45294</v>
      </c>
      <c r="S66" s="1">
        <f ca="1">J66*'Data Considered'!$D$9</f>
        <v>0</v>
      </c>
      <c r="T66" s="1">
        <f ca="1">L66*'Data Considered'!$B$21</f>
        <v>90</v>
      </c>
      <c r="U66" s="1">
        <f ca="1">K66*'Data Considered'!$B$25</f>
        <v>0</v>
      </c>
      <c r="V66" s="1">
        <f t="shared" ca="1" si="7"/>
        <v>1</v>
      </c>
      <c r="W66" s="1">
        <f ca="1">V66+'Data Considered'!$B$14-'Data Considered'!$B$15</f>
        <v>1</v>
      </c>
      <c r="X66" s="1">
        <f t="shared" ca="1" si="8"/>
        <v>5300</v>
      </c>
      <c r="Y66" s="1">
        <f t="shared" ca="1" si="9"/>
        <v>6860</v>
      </c>
    </row>
    <row r="67" spans="1:25" x14ac:dyDescent="0.3">
      <c r="A67" s="1">
        <f t="shared" si="10"/>
        <v>66</v>
      </c>
      <c r="B67" s="1">
        <f ca="1">Retailer!H66</f>
        <v>11</v>
      </c>
      <c r="C67" s="1">
        <f ca="1">ROUNDUP(AVERAGE(Distributor!B65,Distributor!B66),0)</f>
        <v>7</v>
      </c>
      <c r="D67" s="1">
        <f t="shared" ca="1" si="12"/>
        <v>21</v>
      </c>
      <c r="E67" s="1">
        <f ca="1">Manufacturer!J66</f>
        <v>62</v>
      </c>
      <c r="F67" s="1">
        <f ca="1">IF(A67=1,'Data Considered'!$B$5,Distributor!L66+Distributor!E67)</f>
        <v>71</v>
      </c>
      <c r="G67" s="1">
        <f t="shared" ca="1" si="17"/>
        <v>91</v>
      </c>
      <c r="H67" s="1">
        <f t="shared" ca="1" si="18"/>
        <v>0</v>
      </c>
      <c r="I67" s="1">
        <f t="shared" ref="I67:I105" ca="1" si="20">F67</f>
        <v>71</v>
      </c>
      <c r="J67" s="1">
        <f t="shared" ca="1" si="11"/>
        <v>11</v>
      </c>
      <c r="K67" s="1">
        <f t="shared" ca="1" si="19"/>
        <v>0</v>
      </c>
      <c r="L67" s="1">
        <f t="shared" ca="1" si="13"/>
        <v>60</v>
      </c>
      <c r="M67" s="1">
        <f ca="1">J67*'Data Considered'!$B$9</f>
        <v>1540</v>
      </c>
      <c r="N67" s="1">
        <f ca="1">Retailer!P67</f>
        <v>6860</v>
      </c>
      <c r="O67" s="1">
        <f ca="1">E67*'Data Considered'!$B$10</f>
        <v>6200</v>
      </c>
      <c r="P67" s="1">
        <f ca="1">IF(A67&gt;'Data Considered'!$B$15,OFFSET(Distributor!O67,-'Data Considered'!$B$15,0),0)</f>
        <v>1900</v>
      </c>
      <c r="Q67" s="1">
        <f t="shared" ref="Q67:Q105" ca="1" si="21">N67-P67-T67-S67</f>
        <v>4283</v>
      </c>
      <c r="R67" s="1">
        <f ca="1">IF(A67=1,'Data Considered'!$B$17,Distributor!R66+Distributor!Q67)</f>
        <v>49577</v>
      </c>
      <c r="S67" s="1">
        <f ca="1">J67*'Data Considered'!$D$9</f>
        <v>77</v>
      </c>
      <c r="T67" s="1">
        <f ca="1">L67*'Data Considered'!$B$21</f>
        <v>600</v>
      </c>
      <c r="U67" s="1">
        <f ca="1">K67*'Data Considered'!$B$25</f>
        <v>0</v>
      </c>
      <c r="V67" s="1">
        <f t="shared" ref="V67:V105" ca="1" si="22">ROUNDUP(L67/$B$108,0)</f>
        <v>4</v>
      </c>
      <c r="W67" s="1">
        <f ca="1">V67+'Data Considered'!$B$14-'Data Considered'!$B$15</f>
        <v>4</v>
      </c>
      <c r="X67" s="1">
        <f t="shared" ref="X67:X105" ca="1" si="23">IF(A67&gt;2,OFFSET(O67,-2,0),0)+S67</f>
        <v>1977</v>
      </c>
      <c r="Y67" s="1">
        <f t="shared" ref="Y67:Y105" ca="1" si="24">IF(A67&gt;2,OFFSET(M67,-2,0),0)</f>
        <v>1960</v>
      </c>
    </row>
    <row r="68" spans="1:25" x14ac:dyDescent="0.3">
      <c r="A68" s="1">
        <f t="shared" ref="A68:A105" si="25">A67+1</f>
        <v>67</v>
      </c>
      <c r="B68" s="1">
        <f ca="1">Retailer!H67</f>
        <v>20</v>
      </c>
      <c r="C68" s="1">
        <f ca="1">ROUNDUP(AVERAGE(Distributor!B66,Distributor!B67),0)</f>
        <v>6</v>
      </c>
      <c r="D68" s="1">
        <f t="shared" ca="1" si="12"/>
        <v>18</v>
      </c>
      <c r="E68" s="1">
        <f ca="1">Manufacturer!J67</f>
        <v>20</v>
      </c>
      <c r="F68" s="1">
        <f ca="1">IF(A68=1,'Data Considered'!$B$5,Distributor!L67+Distributor!E68)</f>
        <v>80</v>
      </c>
      <c r="G68" s="1">
        <f t="shared" ca="1" si="17"/>
        <v>80</v>
      </c>
      <c r="H68" s="1">
        <f t="shared" ca="1" si="18"/>
        <v>0</v>
      </c>
      <c r="I68" s="1">
        <f t="shared" ca="1" si="20"/>
        <v>80</v>
      </c>
      <c r="J68" s="1">
        <f t="shared" ref="J68:J105" ca="1" si="26">MIN(I68,B68)</f>
        <v>20</v>
      </c>
      <c r="K68" s="1">
        <f t="shared" ca="1" si="19"/>
        <v>0</v>
      </c>
      <c r="L68" s="1">
        <f t="shared" ca="1" si="13"/>
        <v>60</v>
      </c>
      <c r="M68" s="1">
        <f ca="1">J68*'Data Considered'!$B$9</f>
        <v>2800</v>
      </c>
      <c r="N68" s="1">
        <f ca="1">Retailer!P68</f>
        <v>1960</v>
      </c>
      <c r="O68" s="1">
        <f ca="1">E68*'Data Considered'!$B$10</f>
        <v>2000</v>
      </c>
      <c r="P68" s="1">
        <f ca="1">IF(A68&gt;'Data Considered'!$B$15,OFFSET(Distributor!O68,-'Data Considered'!$B$15,0),0)</f>
        <v>0</v>
      </c>
      <c r="Q68" s="1">
        <f t="shared" ca="1" si="21"/>
        <v>1220</v>
      </c>
      <c r="R68" s="1">
        <f ca="1">IF(A68=1,'Data Considered'!$B$17,Distributor!R67+Distributor!Q68)</f>
        <v>50797</v>
      </c>
      <c r="S68" s="1">
        <f ca="1">J68*'Data Considered'!$D$9</f>
        <v>140</v>
      </c>
      <c r="T68" s="1">
        <f ca="1">L68*'Data Considered'!$B$21</f>
        <v>600</v>
      </c>
      <c r="U68" s="1">
        <f ca="1">K68*'Data Considered'!$B$25</f>
        <v>0</v>
      </c>
      <c r="V68" s="1">
        <f t="shared" ca="1" si="22"/>
        <v>4</v>
      </c>
      <c r="W68" s="1">
        <f ca="1">V68+'Data Considered'!$B$14-'Data Considered'!$B$15</f>
        <v>4</v>
      </c>
      <c r="X68" s="1">
        <f t="shared" ca="1" si="23"/>
        <v>140</v>
      </c>
      <c r="Y68" s="1">
        <f t="shared" ca="1" si="24"/>
        <v>0</v>
      </c>
    </row>
    <row r="69" spans="1:25" x14ac:dyDescent="0.3">
      <c r="A69" s="1">
        <f t="shared" si="25"/>
        <v>68</v>
      </c>
      <c r="B69" s="1">
        <f ca="1">Retailer!H68</f>
        <v>32</v>
      </c>
      <c r="C69" s="1">
        <f ca="1">ROUNDUP(AVERAGE(Distributor!B67,Distributor!B68),0)</f>
        <v>16</v>
      </c>
      <c r="D69" s="1">
        <f t="shared" ca="1" si="12"/>
        <v>48</v>
      </c>
      <c r="E69" s="1">
        <f ca="1">Manufacturer!J68</f>
        <v>0</v>
      </c>
      <c r="F69" s="1">
        <f ca="1">IF(A69=1,'Data Considered'!$B$5,Distributor!L68+Distributor!E69)</f>
        <v>60</v>
      </c>
      <c r="G69" s="1">
        <f t="shared" ca="1" si="17"/>
        <v>60</v>
      </c>
      <c r="H69" s="1">
        <f t="shared" ca="1" si="18"/>
        <v>0</v>
      </c>
      <c r="I69" s="1">
        <f t="shared" ca="1" si="20"/>
        <v>60</v>
      </c>
      <c r="J69" s="1">
        <f t="shared" ca="1" si="26"/>
        <v>32</v>
      </c>
      <c r="K69" s="1">
        <f t="shared" ca="1" si="19"/>
        <v>0</v>
      </c>
      <c r="L69" s="1">
        <f t="shared" ca="1" si="13"/>
        <v>28</v>
      </c>
      <c r="M69" s="1">
        <f ca="1">J69*'Data Considered'!$B$9</f>
        <v>4480</v>
      </c>
      <c r="N69" s="1">
        <f ca="1">Retailer!P69</f>
        <v>0</v>
      </c>
      <c r="O69" s="1">
        <f ca="1">E69*'Data Considered'!$B$10</f>
        <v>0</v>
      </c>
      <c r="P69" s="1">
        <f ca="1">IF(A69&gt;'Data Considered'!$B$15,OFFSET(Distributor!O69,-'Data Considered'!$B$15,0),0)</f>
        <v>6200</v>
      </c>
      <c r="Q69" s="1">
        <f t="shared" ca="1" si="21"/>
        <v>-6704</v>
      </c>
      <c r="R69" s="1">
        <f ca="1">IF(A69=1,'Data Considered'!$B$17,Distributor!R68+Distributor!Q69)</f>
        <v>44093</v>
      </c>
      <c r="S69" s="1">
        <f ca="1">J69*'Data Considered'!$D$9</f>
        <v>224</v>
      </c>
      <c r="T69" s="1">
        <f ca="1">L69*'Data Considered'!$B$21</f>
        <v>280</v>
      </c>
      <c r="U69" s="1">
        <f ca="1">K69*'Data Considered'!$B$25</f>
        <v>0</v>
      </c>
      <c r="V69" s="1">
        <f t="shared" ca="1" si="22"/>
        <v>2</v>
      </c>
      <c r="W69" s="1">
        <f ca="1">V69+'Data Considered'!$B$14-'Data Considered'!$B$15</f>
        <v>2</v>
      </c>
      <c r="X69" s="1">
        <f t="shared" ca="1" si="23"/>
        <v>6424</v>
      </c>
      <c r="Y69" s="1">
        <f t="shared" ca="1" si="24"/>
        <v>1540</v>
      </c>
    </row>
    <row r="70" spans="1:25" x14ac:dyDescent="0.3">
      <c r="A70" s="1">
        <f t="shared" si="25"/>
        <v>69</v>
      </c>
      <c r="B70" s="1">
        <f ca="1">Retailer!H69</f>
        <v>20</v>
      </c>
      <c r="C70" s="1">
        <f ca="1">ROUNDUP(AVERAGE(Distributor!B68,Distributor!B69),0)</f>
        <v>26</v>
      </c>
      <c r="D70" s="1">
        <f t="shared" ca="1" si="12"/>
        <v>78</v>
      </c>
      <c r="E70" s="1">
        <f ca="1">Manufacturer!J69</f>
        <v>0</v>
      </c>
      <c r="F70" s="1">
        <f ca="1">IF(A70=1,'Data Considered'!$B$5,Distributor!L69+Distributor!E70)</f>
        <v>28</v>
      </c>
      <c r="G70" s="1">
        <f t="shared" ca="1" si="17"/>
        <v>28</v>
      </c>
      <c r="H70" s="1">
        <f t="shared" ca="1" si="18"/>
        <v>50</v>
      </c>
      <c r="I70" s="1">
        <f t="shared" ca="1" si="20"/>
        <v>28</v>
      </c>
      <c r="J70" s="1">
        <f t="shared" ca="1" si="26"/>
        <v>20</v>
      </c>
      <c r="K70" s="1">
        <f t="shared" ca="1" si="19"/>
        <v>0</v>
      </c>
      <c r="L70" s="1">
        <f t="shared" ca="1" si="13"/>
        <v>8</v>
      </c>
      <c r="M70" s="1">
        <f ca="1">J70*'Data Considered'!$B$9</f>
        <v>2800</v>
      </c>
      <c r="N70" s="1">
        <f ca="1">Retailer!P70</f>
        <v>1540</v>
      </c>
      <c r="O70" s="1">
        <f ca="1">E70*'Data Considered'!$B$10</f>
        <v>0</v>
      </c>
      <c r="P70" s="1">
        <f ca="1">IF(A70&gt;'Data Considered'!$B$15,OFFSET(Distributor!O70,-'Data Considered'!$B$15,0),0)</f>
        <v>2000</v>
      </c>
      <c r="Q70" s="1">
        <f t="shared" ca="1" si="21"/>
        <v>-680</v>
      </c>
      <c r="R70" s="1">
        <f ca="1">IF(A70=1,'Data Considered'!$B$17,Distributor!R69+Distributor!Q70)</f>
        <v>43413</v>
      </c>
      <c r="S70" s="1">
        <f ca="1">J70*'Data Considered'!$D$9</f>
        <v>140</v>
      </c>
      <c r="T70" s="1">
        <f ca="1">L70*'Data Considered'!$B$21</f>
        <v>80</v>
      </c>
      <c r="U70" s="1">
        <f ca="1">K70*'Data Considered'!$B$25</f>
        <v>0</v>
      </c>
      <c r="V70" s="1">
        <f t="shared" ca="1" si="22"/>
        <v>1</v>
      </c>
      <c r="W70" s="1">
        <f ca="1">V70+'Data Considered'!$B$14-'Data Considered'!$B$15</f>
        <v>1</v>
      </c>
      <c r="X70" s="1">
        <f t="shared" ca="1" si="23"/>
        <v>2140</v>
      </c>
      <c r="Y70" s="1">
        <f t="shared" ca="1" si="24"/>
        <v>2800</v>
      </c>
    </row>
    <row r="71" spans="1:25" x14ac:dyDescent="0.3">
      <c r="A71" s="1">
        <f t="shared" si="25"/>
        <v>70</v>
      </c>
      <c r="B71" s="1">
        <f ca="1">Retailer!H70</f>
        <v>8</v>
      </c>
      <c r="C71" s="1">
        <f ca="1">ROUNDUP(AVERAGE(Distributor!B69,Distributor!B70),0)</f>
        <v>26</v>
      </c>
      <c r="D71" s="1">
        <f t="shared" ca="1" si="12"/>
        <v>78</v>
      </c>
      <c r="E71" s="1">
        <f ca="1">Manufacturer!J70</f>
        <v>0</v>
      </c>
      <c r="F71" s="1">
        <f ca="1">IF(A71=1,'Data Considered'!$B$5,Distributor!L70+Distributor!E71)</f>
        <v>8</v>
      </c>
      <c r="G71" s="1">
        <f t="shared" ca="1" si="17"/>
        <v>58</v>
      </c>
      <c r="H71" s="1">
        <f t="shared" ca="1" si="18"/>
        <v>20</v>
      </c>
      <c r="I71" s="1">
        <f t="shared" ca="1" si="20"/>
        <v>8</v>
      </c>
      <c r="J71" s="1">
        <f t="shared" ca="1" si="26"/>
        <v>8</v>
      </c>
      <c r="K71" s="1">
        <f t="shared" ca="1" si="19"/>
        <v>0</v>
      </c>
      <c r="L71" s="1">
        <f t="shared" ca="1" si="13"/>
        <v>0</v>
      </c>
      <c r="M71" s="1">
        <f ca="1">J71*'Data Considered'!$B$9</f>
        <v>1120</v>
      </c>
      <c r="N71" s="1">
        <f ca="1">Retailer!P71</f>
        <v>2800</v>
      </c>
      <c r="O71" s="1">
        <f ca="1">E71*'Data Considered'!$B$10</f>
        <v>0</v>
      </c>
      <c r="P71" s="1">
        <f ca="1">IF(A71&gt;'Data Considered'!$B$15,OFFSET(Distributor!O71,-'Data Considered'!$B$15,0),0)</f>
        <v>0</v>
      </c>
      <c r="Q71" s="1">
        <f t="shared" ca="1" si="21"/>
        <v>2744</v>
      </c>
      <c r="R71" s="1">
        <f ca="1">IF(A71=1,'Data Considered'!$B$17,Distributor!R70+Distributor!Q71)</f>
        <v>46157</v>
      </c>
      <c r="S71" s="1">
        <f ca="1">J71*'Data Considered'!$D$9</f>
        <v>56</v>
      </c>
      <c r="T71" s="1">
        <f ca="1">L71*'Data Considered'!$B$21</f>
        <v>0</v>
      </c>
      <c r="U71" s="1">
        <f ca="1">K71*'Data Considered'!$B$25</f>
        <v>0</v>
      </c>
      <c r="V71" s="1">
        <f t="shared" ca="1" si="22"/>
        <v>0</v>
      </c>
      <c r="W71" s="1">
        <f ca="1">V71+'Data Considered'!$B$14-'Data Considered'!$B$15</f>
        <v>0</v>
      </c>
      <c r="X71" s="1">
        <f t="shared" ca="1" si="23"/>
        <v>56</v>
      </c>
      <c r="Y71" s="1">
        <f t="shared" ca="1" si="24"/>
        <v>4480</v>
      </c>
    </row>
    <row r="72" spans="1:25" x14ac:dyDescent="0.3">
      <c r="A72" s="1">
        <f t="shared" si="25"/>
        <v>71</v>
      </c>
      <c r="B72" s="1">
        <f ca="1">Retailer!H71</f>
        <v>5</v>
      </c>
      <c r="C72" s="1">
        <f ca="1">ROUNDUP(AVERAGE(Distributor!B70,Distributor!B71),0)</f>
        <v>14</v>
      </c>
      <c r="D72" s="1">
        <f t="shared" ca="1" si="12"/>
        <v>42</v>
      </c>
      <c r="E72" s="1">
        <f ca="1">Manufacturer!J71</f>
        <v>50</v>
      </c>
      <c r="F72" s="1">
        <f ca="1">IF(A72=1,'Data Considered'!$B$5,Distributor!L71+Distributor!E72)</f>
        <v>50</v>
      </c>
      <c r="G72" s="1">
        <f t="shared" ca="1" si="17"/>
        <v>70</v>
      </c>
      <c r="H72" s="1">
        <f t="shared" ca="1" si="18"/>
        <v>0</v>
      </c>
      <c r="I72" s="1">
        <f t="shared" ca="1" si="20"/>
        <v>50</v>
      </c>
      <c r="J72" s="1">
        <f t="shared" ca="1" si="26"/>
        <v>5</v>
      </c>
      <c r="K72" s="1">
        <f t="shared" ca="1" si="19"/>
        <v>0</v>
      </c>
      <c r="L72" s="1">
        <f t="shared" ca="1" si="13"/>
        <v>45</v>
      </c>
      <c r="M72" s="1">
        <f ca="1">J72*'Data Considered'!$B$9</f>
        <v>700</v>
      </c>
      <c r="N72" s="1">
        <f ca="1">Retailer!P72</f>
        <v>4480</v>
      </c>
      <c r="O72" s="1">
        <f ca="1">E72*'Data Considered'!$B$10</f>
        <v>5000</v>
      </c>
      <c r="P72" s="1">
        <f ca="1">IF(A72&gt;'Data Considered'!$B$15,OFFSET(Distributor!O72,-'Data Considered'!$B$15,0),0)</f>
        <v>0</v>
      </c>
      <c r="Q72" s="1">
        <f t="shared" ca="1" si="21"/>
        <v>3995</v>
      </c>
      <c r="R72" s="1">
        <f ca="1">IF(A72=1,'Data Considered'!$B$17,Distributor!R71+Distributor!Q72)</f>
        <v>50152</v>
      </c>
      <c r="S72" s="1">
        <f ca="1">J72*'Data Considered'!$D$9</f>
        <v>35</v>
      </c>
      <c r="T72" s="1">
        <f ca="1">L72*'Data Considered'!$B$21</f>
        <v>450</v>
      </c>
      <c r="U72" s="1">
        <f ca="1">K72*'Data Considered'!$B$25</f>
        <v>0</v>
      </c>
      <c r="V72" s="1">
        <f t="shared" ca="1" si="22"/>
        <v>3</v>
      </c>
      <c r="W72" s="1">
        <f ca="1">V72+'Data Considered'!$B$14-'Data Considered'!$B$15</f>
        <v>3</v>
      </c>
      <c r="X72" s="1">
        <f t="shared" ca="1" si="23"/>
        <v>35</v>
      </c>
      <c r="Y72" s="1">
        <f t="shared" ca="1" si="24"/>
        <v>2800</v>
      </c>
    </row>
    <row r="73" spans="1:25" x14ac:dyDescent="0.3">
      <c r="A73" s="1">
        <f t="shared" si="25"/>
        <v>72</v>
      </c>
      <c r="B73" s="1">
        <f ca="1">Retailer!H72</f>
        <v>22</v>
      </c>
      <c r="C73" s="1">
        <f ca="1">ROUNDUP(AVERAGE(Distributor!B71,Distributor!B72),0)</f>
        <v>7</v>
      </c>
      <c r="D73" s="1">
        <f t="shared" ca="1" si="12"/>
        <v>21</v>
      </c>
      <c r="E73" s="1">
        <f ca="1">Manufacturer!J72</f>
        <v>20</v>
      </c>
      <c r="F73" s="1">
        <f ca="1">IF(A73=1,'Data Considered'!$B$5,Distributor!L72+Distributor!E73)</f>
        <v>65</v>
      </c>
      <c r="G73" s="1">
        <f t="shared" ca="1" si="17"/>
        <v>65</v>
      </c>
      <c r="H73" s="1">
        <f t="shared" ca="1" si="18"/>
        <v>0</v>
      </c>
      <c r="I73" s="1">
        <f t="shared" ca="1" si="20"/>
        <v>65</v>
      </c>
      <c r="J73" s="1">
        <f t="shared" ca="1" si="26"/>
        <v>22</v>
      </c>
      <c r="K73" s="1">
        <f t="shared" ca="1" si="19"/>
        <v>0</v>
      </c>
      <c r="L73" s="1">
        <f t="shared" ca="1" si="13"/>
        <v>43</v>
      </c>
      <c r="M73" s="1">
        <f ca="1">J73*'Data Considered'!$B$9</f>
        <v>3080</v>
      </c>
      <c r="N73" s="1">
        <f ca="1">Retailer!P73</f>
        <v>2800</v>
      </c>
      <c r="O73" s="1">
        <f ca="1">E73*'Data Considered'!$B$10</f>
        <v>2000</v>
      </c>
      <c r="P73" s="1">
        <f ca="1">IF(A73&gt;'Data Considered'!$B$15,OFFSET(Distributor!O73,-'Data Considered'!$B$15,0),0)</f>
        <v>0</v>
      </c>
      <c r="Q73" s="1">
        <f t="shared" ca="1" si="21"/>
        <v>2216</v>
      </c>
      <c r="R73" s="1">
        <f ca="1">IF(A73=1,'Data Considered'!$B$17,Distributor!R72+Distributor!Q73)</f>
        <v>52368</v>
      </c>
      <c r="S73" s="1">
        <f ca="1">J73*'Data Considered'!$D$9</f>
        <v>154</v>
      </c>
      <c r="T73" s="1">
        <f ca="1">L73*'Data Considered'!$B$21</f>
        <v>430</v>
      </c>
      <c r="U73" s="1">
        <f ca="1">K73*'Data Considered'!$B$25</f>
        <v>0</v>
      </c>
      <c r="V73" s="1">
        <f t="shared" ca="1" si="22"/>
        <v>3</v>
      </c>
      <c r="W73" s="1">
        <f ca="1">V73+'Data Considered'!$B$14-'Data Considered'!$B$15</f>
        <v>3</v>
      </c>
      <c r="X73" s="1">
        <f t="shared" ca="1" si="23"/>
        <v>154</v>
      </c>
      <c r="Y73" s="1">
        <f t="shared" ca="1" si="24"/>
        <v>1120</v>
      </c>
    </row>
    <row r="74" spans="1:25" x14ac:dyDescent="0.3">
      <c r="A74" s="1">
        <f t="shared" si="25"/>
        <v>73</v>
      </c>
      <c r="B74" s="1">
        <f ca="1">Retailer!H73</f>
        <v>27</v>
      </c>
      <c r="C74" s="1">
        <f ca="1">ROUNDUP(AVERAGE(Distributor!B72,Distributor!B73),0)</f>
        <v>14</v>
      </c>
      <c r="D74" s="1">
        <f t="shared" ca="1" si="12"/>
        <v>42</v>
      </c>
      <c r="E74" s="1">
        <f ca="1">Manufacturer!J73</f>
        <v>0</v>
      </c>
      <c r="F74" s="1">
        <f ca="1">IF(A74=1,'Data Considered'!$B$5,Distributor!L73+Distributor!E74)</f>
        <v>43</v>
      </c>
      <c r="G74" s="1">
        <f t="shared" ca="1" si="17"/>
        <v>43</v>
      </c>
      <c r="H74" s="1">
        <f t="shared" ca="1" si="18"/>
        <v>0</v>
      </c>
      <c r="I74" s="1">
        <f t="shared" ca="1" si="20"/>
        <v>43</v>
      </c>
      <c r="J74" s="1">
        <f t="shared" ca="1" si="26"/>
        <v>27</v>
      </c>
      <c r="K74" s="1">
        <f t="shared" ca="1" si="19"/>
        <v>0</v>
      </c>
      <c r="L74" s="1">
        <f t="shared" ca="1" si="13"/>
        <v>16</v>
      </c>
      <c r="M74" s="1">
        <f ca="1">J74*'Data Considered'!$B$9</f>
        <v>3780</v>
      </c>
      <c r="N74" s="1">
        <f ca="1">Retailer!P74</f>
        <v>1120</v>
      </c>
      <c r="O74" s="1">
        <f ca="1">E74*'Data Considered'!$B$10</f>
        <v>0</v>
      </c>
      <c r="P74" s="1">
        <f ca="1">IF(A74&gt;'Data Considered'!$B$15,OFFSET(Distributor!O74,-'Data Considered'!$B$15,0),0)</f>
        <v>5000</v>
      </c>
      <c r="Q74" s="1">
        <f t="shared" ca="1" si="21"/>
        <v>-4229</v>
      </c>
      <c r="R74" s="1">
        <f ca="1">IF(A74=1,'Data Considered'!$B$17,Distributor!R73+Distributor!Q74)</f>
        <v>48139</v>
      </c>
      <c r="S74" s="1">
        <f ca="1">J74*'Data Considered'!$D$9</f>
        <v>189</v>
      </c>
      <c r="T74" s="1">
        <f ca="1">L74*'Data Considered'!$B$21</f>
        <v>160</v>
      </c>
      <c r="U74" s="1">
        <f ca="1">K74*'Data Considered'!$B$25</f>
        <v>0</v>
      </c>
      <c r="V74" s="1">
        <f t="shared" ca="1" si="22"/>
        <v>1</v>
      </c>
      <c r="W74" s="1">
        <f ca="1">V74+'Data Considered'!$B$14-'Data Considered'!$B$15</f>
        <v>1</v>
      </c>
      <c r="X74" s="1">
        <f t="shared" ca="1" si="23"/>
        <v>5189</v>
      </c>
      <c r="Y74" s="1">
        <f t="shared" ca="1" si="24"/>
        <v>700</v>
      </c>
    </row>
    <row r="75" spans="1:25" x14ac:dyDescent="0.3">
      <c r="A75" s="1">
        <f t="shared" si="25"/>
        <v>74</v>
      </c>
      <c r="B75" s="1">
        <f ca="1">Retailer!H74</f>
        <v>26</v>
      </c>
      <c r="C75" s="1">
        <f ca="1">ROUNDUP(AVERAGE(Distributor!B73,Distributor!B74),0)</f>
        <v>25</v>
      </c>
      <c r="D75" s="1">
        <f t="shared" ca="1" si="12"/>
        <v>75</v>
      </c>
      <c r="E75" s="1">
        <f ca="1">Manufacturer!J74</f>
        <v>0</v>
      </c>
      <c r="F75" s="1">
        <f ca="1">IF(A75=1,'Data Considered'!$B$5,Distributor!L74+Distributor!E75)</f>
        <v>16</v>
      </c>
      <c r="G75" s="1">
        <f t="shared" ca="1" si="17"/>
        <v>16</v>
      </c>
      <c r="H75" s="1">
        <f t="shared" ca="1" si="18"/>
        <v>59</v>
      </c>
      <c r="I75" s="1">
        <f t="shared" ca="1" si="20"/>
        <v>16</v>
      </c>
      <c r="J75" s="1">
        <f t="shared" ca="1" si="26"/>
        <v>16</v>
      </c>
      <c r="K75" s="1">
        <f t="shared" ca="1" si="19"/>
        <v>10</v>
      </c>
      <c r="L75" s="1">
        <f t="shared" ca="1" si="13"/>
        <v>0</v>
      </c>
      <c r="M75" s="1">
        <f ca="1">J75*'Data Considered'!$B$9</f>
        <v>2240</v>
      </c>
      <c r="N75" s="1">
        <f ca="1">Retailer!P75</f>
        <v>700</v>
      </c>
      <c r="O75" s="1">
        <f ca="1">E75*'Data Considered'!$B$10</f>
        <v>0</v>
      </c>
      <c r="P75" s="1">
        <f ca="1">IF(A75&gt;'Data Considered'!$B$15,OFFSET(Distributor!O75,-'Data Considered'!$B$15,0),0)</f>
        <v>2000</v>
      </c>
      <c r="Q75" s="1">
        <f t="shared" ca="1" si="21"/>
        <v>-1412</v>
      </c>
      <c r="R75" s="1">
        <f ca="1">IF(A75=1,'Data Considered'!$B$17,Distributor!R74+Distributor!Q75)</f>
        <v>46727</v>
      </c>
      <c r="S75" s="1">
        <f ca="1">J75*'Data Considered'!$D$9</f>
        <v>112</v>
      </c>
      <c r="T75" s="1">
        <f ca="1">L75*'Data Considered'!$B$21</f>
        <v>0</v>
      </c>
      <c r="U75" s="1">
        <f ca="1">K75*'Data Considered'!$B$25</f>
        <v>300</v>
      </c>
      <c r="V75" s="1">
        <f t="shared" ca="1" si="22"/>
        <v>0</v>
      </c>
      <c r="W75" s="1">
        <f ca="1">V75+'Data Considered'!$B$14-'Data Considered'!$B$15</f>
        <v>0</v>
      </c>
      <c r="X75" s="1">
        <f t="shared" ca="1" si="23"/>
        <v>2112</v>
      </c>
      <c r="Y75" s="1">
        <f t="shared" ca="1" si="24"/>
        <v>3080</v>
      </c>
    </row>
    <row r="76" spans="1:25" x14ac:dyDescent="0.3">
      <c r="A76" s="1">
        <f t="shared" si="25"/>
        <v>75</v>
      </c>
      <c r="B76" s="1">
        <f ca="1">Retailer!H75</f>
        <v>10</v>
      </c>
      <c r="C76" s="1">
        <f ca="1">ROUNDUP(AVERAGE(Distributor!B74,Distributor!B75),0)</f>
        <v>27</v>
      </c>
      <c r="D76" s="1">
        <f t="shared" ca="1" si="12"/>
        <v>81</v>
      </c>
      <c r="E76" s="1">
        <f ca="1">Manufacturer!J75</f>
        <v>0</v>
      </c>
      <c r="F76" s="1">
        <f ca="1">IF(A76=1,'Data Considered'!$B$5,Distributor!L75+Distributor!E76)</f>
        <v>0</v>
      </c>
      <c r="G76" s="1">
        <f t="shared" ca="1" si="17"/>
        <v>59</v>
      </c>
      <c r="H76" s="1">
        <f t="shared" ca="1" si="18"/>
        <v>22</v>
      </c>
      <c r="I76" s="1">
        <f t="shared" ca="1" si="20"/>
        <v>0</v>
      </c>
      <c r="J76" s="1">
        <f t="shared" ca="1" si="26"/>
        <v>0</v>
      </c>
      <c r="K76" s="1">
        <f t="shared" ca="1" si="19"/>
        <v>10</v>
      </c>
      <c r="L76" s="1">
        <f t="shared" ca="1" si="13"/>
        <v>0</v>
      </c>
      <c r="M76" s="1">
        <f ca="1">J76*'Data Considered'!$B$9</f>
        <v>0</v>
      </c>
      <c r="N76" s="1">
        <f ca="1">Retailer!P76</f>
        <v>3080</v>
      </c>
      <c r="O76" s="1">
        <f ca="1">E76*'Data Considered'!$B$10</f>
        <v>0</v>
      </c>
      <c r="P76" s="1">
        <f ca="1">IF(A76&gt;'Data Considered'!$B$15,OFFSET(Distributor!O76,-'Data Considered'!$B$15,0),0)</f>
        <v>0</v>
      </c>
      <c r="Q76" s="1">
        <f t="shared" ca="1" si="21"/>
        <v>3080</v>
      </c>
      <c r="R76" s="1">
        <f ca="1">IF(A76=1,'Data Considered'!$B$17,Distributor!R75+Distributor!Q76)</f>
        <v>49807</v>
      </c>
      <c r="S76" s="1">
        <f ca="1">J76*'Data Considered'!$D$9</f>
        <v>0</v>
      </c>
      <c r="T76" s="1">
        <f ca="1">L76*'Data Considered'!$B$21</f>
        <v>0</v>
      </c>
      <c r="U76" s="1">
        <f ca="1">K76*'Data Considered'!$B$25</f>
        <v>300</v>
      </c>
      <c r="V76" s="1">
        <f t="shared" ca="1" si="22"/>
        <v>0</v>
      </c>
      <c r="W76" s="1">
        <f ca="1">V76+'Data Considered'!$B$14-'Data Considered'!$B$15</f>
        <v>0</v>
      </c>
      <c r="X76" s="1">
        <f t="shared" ca="1" si="23"/>
        <v>0</v>
      </c>
      <c r="Y76" s="1">
        <f t="shared" ca="1" si="24"/>
        <v>3780</v>
      </c>
    </row>
    <row r="77" spans="1:25" x14ac:dyDescent="0.3">
      <c r="A77" s="1">
        <f t="shared" si="25"/>
        <v>76</v>
      </c>
      <c r="B77" s="1">
        <f ca="1">Retailer!H76</f>
        <v>24</v>
      </c>
      <c r="C77" s="1">
        <f ca="1">ROUNDUP(AVERAGE(Distributor!B75,Distributor!B76),0)</f>
        <v>18</v>
      </c>
      <c r="D77" s="1">
        <f t="shared" ca="1" si="12"/>
        <v>54</v>
      </c>
      <c r="E77" s="1">
        <f ca="1">Manufacturer!J76</f>
        <v>59</v>
      </c>
      <c r="F77" s="1">
        <f ca="1">IF(A77=1,'Data Considered'!$B$5,Distributor!L76+Distributor!E77)</f>
        <v>59</v>
      </c>
      <c r="G77" s="1">
        <f t="shared" ca="1" si="17"/>
        <v>81</v>
      </c>
      <c r="H77" s="1">
        <f t="shared" ca="1" si="18"/>
        <v>0</v>
      </c>
      <c r="I77" s="1">
        <f t="shared" ca="1" si="20"/>
        <v>59</v>
      </c>
      <c r="J77" s="1">
        <f t="shared" ca="1" si="26"/>
        <v>24</v>
      </c>
      <c r="K77" s="1">
        <f t="shared" ca="1" si="19"/>
        <v>0</v>
      </c>
      <c r="L77" s="1">
        <f t="shared" ca="1" si="13"/>
        <v>35</v>
      </c>
      <c r="M77" s="1">
        <f ca="1">J77*'Data Considered'!$B$9</f>
        <v>3360</v>
      </c>
      <c r="N77" s="1">
        <f ca="1">Retailer!P77</f>
        <v>3780</v>
      </c>
      <c r="O77" s="1">
        <f ca="1">E77*'Data Considered'!$B$10</f>
        <v>5900</v>
      </c>
      <c r="P77" s="1">
        <f ca="1">IF(A77&gt;'Data Considered'!$B$15,OFFSET(Distributor!O77,-'Data Considered'!$B$15,0),0)</f>
        <v>0</v>
      </c>
      <c r="Q77" s="1">
        <f t="shared" ca="1" si="21"/>
        <v>3262</v>
      </c>
      <c r="R77" s="1">
        <f ca="1">IF(A77=1,'Data Considered'!$B$17,Distributor!R76+Distributor!Q77)</f>
        <v>53069</v>
      </c>
      <c r="S77" s="1">
        <f ca="1">J77*'Data Considered'!$D$9</f>
        <v>168</v>
      </c>
      <c r="T77" s="1">
        <f ca="1">L77*'Data Considered'!$B$21</f>
        <v>350</v>
      </c>
      <c r="U77" s="1">
        <f ca="1">K77*'Data Considered'!$B$25</f>
        <v>0</v>
      </c>
      <c r="V77" s="1">
        <f t="shared" ca="1" si="22"/>
        <v>2</v>
      </c>
      <c r="W77" s="1">
        <f ca="1">V77+'Data Considered'!$B$14-'Data Considered'!$B$15</f>
        <v>2</v>
      </c>
      <c r="X77" s="1">
        <f t="shared" ca="1" si="23"/>
        <v>168</v>
      </c>
      <c r="Y77" s="1">
        <f t="shared" ca="1" si="24"/>
        <v>2240</v>
      </c>
    </row>
    <row r="78" spans="1:25" x14ac:dyDescent="0.3">
      <c r="A78" s="1">
        <f t="shared" si="25"/>
        <v>77</v>
      </c>
      <c r="B78" s="1">
        <f ca="1">Retailer!H77</f>
        <v>36</v>
      </c>
      <c r="C78" s="1">
        <f ca="1">ROUNDUP(AVERAGE(Distributor!B76,Distributor!B77),0)</f>
        <v>17</v>
      </c>
      <c r="D78" s="1">
        <f t="shared" ca="1" si="12"/>
        <v>51</v>
      </c>
      <c r="E78" s="1">
        <f ca="1">Manufacturer!J77</f>
        <v>22</v>
      </c>
      <c r="F78" s="1">
        <f ca="1">IF(A78=1,'Data Considered'!$B$5,Distributor!L77+Distributor!E78)</f>
        <v>57</v>
      </c>
      <c r="G78" s="1">
        <f t="shared" ca="1" si="17"/>
        <v>57</v>
      </c>
      <c r="H78" s="1">
        <f t="shared" ca="1" si="18"/>
        <v>0</v>
      </c>
      <c r="I78" s="1">
        <f t="shared" ca="1" si="20"/>
        <v>57</v>
      </c>
      <c r="J78" s="1">
        <f t="shared" ca="1" si="26"/>
        <v>36</v>
      </c>
      <c r="K78" s="1">
        <f t="shared" ca="1" si="19"/>
        <v>0</v>
      </c>
      <c r="L78" s="1">
        <f t="shared" ca="1" si="13"/>
        <v>21</v>
      </c>
      <c r="M78" s="1">
        <f ca="1">J78*'Data Considered'!$B$9</f>
        <v>5040</v>
      </c>
      <c r="N78" s="1">
        <f ca="1">Retailer!P78</f>
        <v>2240</v>
      </c>
      <c r="O78" s="1">
        <f ca="1">E78*'Data Considered'!$B$10</f>
        <v>2200</v>
      </c>
      <c r="P78" s="1">
        <f ca="1">IF(A78&gt;'Data Considered'!$B$15,OFFSET(Distributor!O78,-'Data Considered'!$B$15,0),0)</f>
        <v>0</v>
      </c>
      <c r="Q78" s="1">
        <f t="shared" ca="1" si="21"/>
        <v>1778</v>
      </c>
      <c r="R78" s="1">
        <f ca="1">IF(A78=1,'Data Considered'!$B$17,Distributor!R77+Distributor!Q78)</f>
        <v>54847</v>
      </c>
      <c r="S78" s="1">
        <f ca="1">J78*'Data Considered'!$D$9</f>
        <v>252</v>
      </c>
      <c r="T78" s="1">
        <f ca="1">L78*'Data Considered'!$B$21</f>
        <v>210</v>
      </c>
      <c r="U78" s="1">
        <f ca="1">K78*'Data Considered'!$B$25</f>
        <v>0</v>
      </c>
      <c r="V78" s="1">
        <f t="shared" ca="1" si="22"/>
        <v>2</v>
      </c>
      <c r="W78" s="1">
        <f ca="1">V78+'Data Considered'!$B$14-'Data Considered'!$B$15</f>
        <v>2</v>
      </c>
      <c r="X78" s="1">
        <f t="shared" ca="1" si="23"/>
        <v>252</v>
      </c>
      <c r="Y78" s="1">
        <f t="shared" ca="1" si="24"/>
        <v>0</v>
      </c>
    </row>
    <row r="79" spans="1:25" x14ac:dyDescent="0.3">
      <c r="A79" s="1">
        <f t="shared" si="25"/>
        <v>78</v>
      </c>
      <c r="B79" s="1">
        <f ca="1">Retailer!H78</f>
        <v>6</v>
      </c>
      <c r="C79" s="1">
        <f ca="1">ROUNDUP(AVERAGE(Distributor!B77,Distributor!B78),0)</f>
        <v>30</v>
      </c>
      <c r="D79" s="1">
        <f t="shared" ca="1" si="12"/>
        <v>90</v>
      </c>
      <c r="E79" s="1">
        <f ca="1">Manufacturer!J78</f>
        <v>0</v>
      </c>
      <c r="F79" s="1">
        <f ca="1">IF(A79=1,'Data Considered'!$B$5,Distributor!L78+Distributor!E79)</f>
        <v>21</v>
      </c>
      <c r="G79" s="1">
        <f t="shared" ca="1" si="17"/>
        <v>21</v>
      </c>
      <c r="H79" s="1">
        <f t="shared" ca="1" si="18"/>
        <v>69</v>
      </c>
      <c r="I79" s="1">
        <f t="shared" ca="1" si="20"/>
        <v>21</v>
      </c>
      <c r="J79" s="1">
        <f t="shared" ca="1" si="26"/>
        <v>6</v>
      </c>
      <c r="K79" s="1">
        <f t="shared" ca="1" si="19"/>
        <v>0</v>
      </c>
      <c r="L79" s="1">
        <f t="shared" ca="1" si="13"/>
        <v>15</v>
      </c>
      <c r="M79" s="1">
        <f ca="1">J79*'Data Considered'!$B$9</f>
        <v>840</v>
      </c>
      <c r="N79" s="1">
        <f ca="1">Retailer!P79</f>
        <v>0</v>
      </c>
      <c r="O79" s="1">
        <f ca="1">E79*'Data Considered'!$B$10</f>
        <v>0</v>
      </c>
      <c r="P79" s="1">
        <f ca="1">IF(A79&gt;'Data Considered'!$B$15,OFFSET(Distributor!O79,-'Data Considered'!$B$15,0),0)</f>
        <v>5900</v>
      </c>
      <c r="Q79" s="1">
        <f t="shared" ca="1" si="21"/>
        <v>-6092</v>
      </c>
      <c r="R79" s="1">
        <f ca="1">IF(A79=1,'Data Considered'!$B$17,Distributor!R78+Distributor!Q79)</f>
        <v>48755</v>
      </c>
      <c r="S79" s="1">
        <f ca="1">J79*'Data Considered'!$D$9</f>
        <v>42</v>
      </c>
      <c r="T79" s="1">
        <f ca="1">L79*'Data Considered'!$B$21</f>
        <v>150</v>
      </c>
      <c r="U79" s="1">
        <f ca="1">K79*'Data Considered'!$B$25</f>
        <v>0</v>
      </c>
      <c r="V79" s="1">
        <f t="shared" ca="1" si="22"/>
        <v>1</v>
      </c>
      <c r="W79" s="1">
        <f ca="1">V79+'Data Considered'!$B$14-'Data Considered'!$B$15</f>
        <v>1</v>
      </c>
      <c r="X79" s="1">
        <f t="shared" ca="1" si="23"/>
        <v>5942</v>
      </c>
      <c r="Y79" s="1">
        <f t="shared" ca="1" si="24"/>
        <v>3360</v>
      </c>
    </row>
    <row r="80" spans="1:25" x14ac:dyDescent="0.3">
      <c r="A80" s="1">
        <f t="shared" si="25"/>
        <v>79</v>
      </c>
      <c r="B80" s="1">
        <f ca="1">Retailer!H79</f>
        <v>30</v>
      </c>
      <c r="C80" s="1">
        <f ca="1">ROUNDUP(AVERAGE(Distributor!B78,Distributor!B79),0)</f>
        <v>21</v>
      </c>
      <c r="D80" s="1">
        <f t="shared" ca="1" si="12"/>
        <v>63</v>
      </c>
      <c r="E80" s="1">
        <f ca="1">Manufacturer!J79</f>
        <v>0</v>
      </c>
      <c r="F80" s="1">
        <f ca="1">IF(A80=1,'Data Considered'!$B$5,Distributor!L79+Distributor!E80)</f>
        <v>15</v>
      </c>
      <c r="G80" s="1">
        <f t="shared" ca="1" si="17"/>
        <v>84</v>
      </c>
      <c r="H80" s="1">
        <f t="shared" ca="1" si="18"/>
        <v>0</v>
      </c>
      <c r="I80" s="1">
        <f t="shared" ca="1" si="20"/>
        <v>15</v>
      </c>
      <c r="J80" s="1">
        <f t="shared" ca="1" si="26"/>
        <v>15</v>
      </c>
      <c r="K80" s="1">
        <f t="shared" ca="1" si="19"/>
        <v>15</v>
      </c>
      <c r="L80" s="1">
        <f t="shared" ca="1" si="13"/>
        <v>0</v>
      </c>
      <c r="M80" s="1">
        <f ca="1">J80*'Data Considered'!$B$9</f>
        <v>2100</v>
      </c>
      <c r="N80" s="1">
        <f ca="1">Retailer!P80</f>
        <v>3360</v>
      </c>
      <c r="O80" s="1">
        <f ca="1">E80*'Data Considered'!$B$10</f>
        <v>0</v>
      </c>
      <c r="P80" s="1">
        <f ca="1">IF(A80&gt;'Data Considered'!$B$15,OFFSET(Distributor!O80,-'Data Considered'!$B$15,0),0)</f>
        <v>2200</v>
      </c>
      <c r="Q80" s="1">
        <f t="shared" ca="1" si="21"/>
        <v>1055</v>
      </c>
      <c r="R80" s="1">
        <f ca="1">IF(A80=1,'Data Considered'!$B$17,Distributor!R79+Distributor!Q80)</f>
        <v>49810</v>
      </c>
      <c r="S80" s="1">
        <f ca="1">J80*'Data Considered'!$D$9</f>
        <v>105</v>
      </c>
      <c r="T80" s="1">
        <f ca="1">L80*'Data Considered'!$B$21</f>
        <v>0</v>
      </c>
      <c r="U80" s="1">
        <f ca="1">K80*'Data Considered'!$B$25</f>
        <v>450</v>
      </c>
      <c r="V80" s="1">
        <f t="shared" ca="1" si="22"/>
        <v>0</v>
      </c>
      <c r="W80" s="1">
        <f ca="1">V80+'Data Considered'!$B$14-'Data Considered'!$B$15</f>
        <v>0</v>
      </c>
      <c r="X80" s="1">
        <f t="shared" ca="1" si="23"/>
        <v>2305</v>
      </c>
      <c r="Y80" s="1">
        <f t="shared" ca="1" si="24"/>
        <v>5040</v>
      </c>
    </row>
    <row r="81" spans="1:25" x14ac:dyDescent="0.3">
      <c r="A81" s="1">
        <f t="shared" si="25"/>
        <v>80</v>
      </c>
      <c r="B81" s="1">
        <f ca="1">Retailer!H80</f>
        <v>19</v>
      </c>
      <c r="C81" s="1">
        <f ca="1">ROUNDUP(AVERAGE(Distributor!B79,Distributor!B80),0)</f>
        <v>18</v>
      </c>
      <c r="D81" s="1">
        <f t="shared" ca="1" si="12"/>
        <v>54</v>
      </c>
      <c r="E81" s="1">
        <f ca="1">Manufacturer!J80</f>
        <v>69</v>
      </c>
      <c r="F81" s="1">
        <f ca="1">IF(A81=1,'Data Considered'!$B$5,Distributor!L80+Distributor!E81)</f>
        <v>69</v>
      </c>
      <c r="G81" s="1">
        <f t="shared" ca="1" si="17"/>
        <v>69</v>
      </c>
      <c r="H81" s="1">
        <f t="shared" ca="1" si="18"/>
        <v>0</v>
      </c>
      <c r="I81" s="1">
        <f t="shared" ca="1" si="20"/>
        <v>69</v>
      </c>
      <c r="J81" s="1">
        <f t="shared" ca="1" si="26"/>
        <v>19</v>
      </c>
      <c r="K81" s="1">
        <f t="shared" ca="1" si="19"/>
        <v>0</v>
      </c>
      <c r="L81" s="1">
        <f t="shared" ca="1" si="13"/>
        <v>50</v>
      </c>
      <c r="M81" s="1">
        <f ca="1">J81*'Data Considered'!$B$9</f>
        <v>2660</v>
      </c>
      <c r="N81" s="1">
        <f ca="1">Retailer!P81</f>
        <v>5040</v>
      </c>
      <c r="O81" s="1">
        <f ca="1">E81*'Data Considered'!$B$10</f>
        <v>6900</v>
      </c>
      <c r="P81" s="1">
        <f ca="1">IF(A81&gt;'Data Considered'!$B$15,OFFSET(Distributor!O81,-'Data Considered'!$B$15,0),0)</f>
        <v>0</v>
      </c>
      <c r="Q81" s="1">
        <f t="shared" ca="1" si="21"/>
        <v>4407</v>
      </c>
      <c r="R81" s="1">
        <f ca="1">IF(A81=1,'Data Considered'!$B$17,Distributor!R80+Distributor!Q81)</f>
        <v>54217</v>
      </c>
      <c r="S81" s="1">
        <f ca="1">J81*'Data Considered'!$D$9</f>
        <v>133</v>
      </c>
      <c r="T81" s="1">
        <f ca="1">L81*'Data Considered'!$B$21</f>
        <v>500</v>
      </c>
      <c r="U81" s="1">
        <f ca="1">K81*'Data Considered'!$B$25</f>
        <v>0</v>
      </c>
      <c r="V81" s="1">
        <f t="shared" ca="1" si="22"/>
        <v>3</v>
      </c>
      <c r="W81" s="1">
        <f ca="1">V81+'Data Considered'!$B$14-'Data Considered'!$B$15</f>
        <v>3</v>
      </c>
      <c r="X81" s="1">
        <f t="shared" ca="1" si="23"/>
        <v>133</v>
      </c>
      <c r="Y81" s="1">
        <f t="shared" ca="1" si="24"/>
        <v>840</v>
      </c>
    </row>
    <row r="82" spans="1:25" x14ac:dyDescent="0.3">
      <c r="A82" s="1">
        <f t="shared" si="25"/>
        <v>81</v>
      </c>
      <c r="B82" s="1">
        <f ca="1">Retailer!H81</f>
        <v>19</v>
      </c>
      <c r="C82" s="1">
        <f ca="1">ROUNDUP(AVERAGE(Distributor!B80,Distributor!B81),0)</f>
        <v>25</v>
      </c>
      <c r="D82" s="1">
        <f t="shared" ca="1" si="12"/>
        <v>75</v>
      </c>
      <c r="E82" s="1">
        <f ca="1">Manufacturer!J81</f>
        <v>0</v>
      </c>
      <c r="F82" s="1">
        <f ca="1">IF(A82=1,'Data Considered'!$B$5,Distributor!L81+Distributor!E82)</f>
        <v>50</v>
      </c>
      <c r="G82" s="1">
        <f t="shared" ca="1" si="17"/>
        <v>50</v>
      </c>
      <c r="H82" s="1">
        <f t="shared" ca="1" si="18"/>
        <v>25</v>
      </c>
      <c r="I82" s="1">
        <f t="shared" ca="1" si="20"/>
        <v>50</v>
      </c>
      <c r="J82" s="1">
        <f t="shared" ca="1" si="26"/>
        <v>19</v>
      </c>
      <c r="K82" s="1">
        <f t="shared" ca="1" si="19"/>
        <v>0</v>
      </c>
      <c r="L82" s="1">
        <f t="shared" ca="1" si="13"/>
        <v>31</v>
      </c>
      <c r="M82" s="1">
        <f ca="1">J82*'Data Considered'!$B$9</f>
        <v>2660</v>
      </c>
      <c r="N82" s="1">
        <f ca="1">Retailer!P82</f>
        <v>840</v>
      </c>
      <c r="O82" s="1">
        <f ca="1">E82*'Data Considered'!$B$10</f>
        <v>0</v>
      </c>
      <c r="P82" s="1">
        <f ca="1">IF(A82&gt;'Data Considered'!$B$15,OFFSET(Distributor!O82,-'Data Considered'!$B$15,0),0)</f>
        <v>0</v>
      </c>
      <c r="Q82" s="1">
        <f t="shared" ca="1" si="21"/>
        <v>397</v>
      </c>
      <c r="R82" s="1">
        <f ca="1">IF(A82=1,'Data Considered'!$B$17,Distributor!R81+Distributor!Q82)</f>
        <v>54614</v>
      </c>
      <c r="S82" s="1">
        <f ca="1">J82*'Data Considered'!$D$9</f>
        <v>133</v>
      </c>
      <c r="T82" s="1">
        <f ca="1">L82*'Data Considered'!$B$21</f>
        <v>310</v>
      </c>
      <c r="U82" s="1">
        <f ca="1">K82*'Data Considered'!$B$25</f>
        <v>0</v>
      </c>
      <c r="V82" s="1">
        <f t="shared" ca="1" si="22"/>
        <v>2</v>
      </c>
      <c r="W82" s="1">
        <f ca="1">V82+'Data Considered'!$B$14-'Data Considered'!$B$15</f>
        <v>2</v>
      </c>
      <c r="X82" s="1">
        <f t="shared" ca="1" si="23"/>
        <v>133</v>
      </c>
      <c r="Y82" s="1">
        <f t="shared" ca="1" si="24"/>
        <v>2100</v>
      </c>
    </row>
    <row r="83" spans="1:25" x14ac:dyDescent="0.3">
      <c r="A83" s="1">
        <f t="shared" si="25"/>
        <v>82</v>
      </c>
      <c r="B83" s="1">
        <f ca="1">Retailer!H82</f>
        <v>22</v>
      </c>
      <c r="C83" s="1">
        <f ca="1">ROUNDUP(AVERAGE(Distributor!B81,Distributor!B82),0)</f>
        <v>19</v>
      </c>
      <c r="D83" s="1">
        <f t="shared" ca="1" si="12"/>
        <v>57</v>
      </c>
      <c r="E83" s="1">
        <f ca="1">Manufacturer!J82</f>
        <v>0</v>
      </c>
      <c r="F83" s="1">
        <f ca="1">IF(A83=1,'Data Considered'!$B$5,Distributor!L82+Distributor!E83)</f>
        <v>31</v>
      </c>
      <c r="G83" s="1">
        <f t="shared" ca="1" si="17"/>
        <v>56</v>
      </c>
      <c r="H83" s="1">
        <f t="shared" ca="1" si="18"/>
        <v>1</v>
      </c>
      <c r="I83" s="1">
        <f t="shared" ca="1" si="20"/>
        <v>31</v>
      </c>
      <c r="J83" s="1">
        <f t="shared" ca="1" si="26"/>
        <v>22</v>
      </c>
      <c r="K83" s="1">
        <f t="shared" ca="1" si="19"/>
        <v>0</v>
      </c>
      <c r="L83" s="1">
        <f t="shared" ca="1" si="13"/>
        <v>9</v>
      </c>
      <c r="M83" s="1">
        <f ca="1">J83*'Data Considered'!$B$9</f>
        <v>3080</v>
      </c>
      <c r="N83" s="1">
        <f ca="1">Retailer!P83</f>
        <v>2100</v>
      </c>
      <c r="O83" s="1">
        <f ca="1">E83*'Data Considered'!$B$10</f>
        <v>0</v>
      </c>
      <c r="P83" s="1">
        <f ca="1">IF(A83&gt;'Data Considered'!$B$15,OFFSET(Distributor!O83,-'Data Considered'!$B$15,0),0)</f>
        <v>6900</v>
      </c>
      <c r="Q83" s="1">
        <f t="shared" ca="1" si="21"/>
        <v>-5044</v>
      </c>
      <c r="R83" s="1">
        <f ca="1">IF(A83=1,'Data Considered'!$B$17,Distributor!R82+Distributor!Q83)</f>
        <v>49570</v>
      </c>
      <c r="S83" s="1">
        <f ca="1">J83*'Data Considered'!$D$9</f>
        <v>154</v>
      </c>
      <c r="T83" s="1">
        <f ca="1">L83*'Data Considered'!$B$21</f>
        <v>90</v>
      </c>
      <c r="U83" s="1">
        <f ca="1">K83*'Data Considered'!$B$25</f>
        <v>0</v>
      </c>
      <c r="V83" s="1">
        <f t="shared" ca="1" si="22"/>
        <v>1</v>
      </c>
      <c r="W83" s="1">
        <f ca="1">V83+'Data Considered'!$B$14-'Data Considered'!$B$15</f>
        <v>1</v>
      </c>
      <c r="X83" s="1">
        <f t="shared" ca="1" si="23"/>
        <v>7054</v>
      </c>
      <c r="Y83" s="1">
        <f t="shared" ca="1" si="24"/>
        <v>2660</v>
      </c>
    </row>
    <row r="84" spans="1:25" x14ac:dyDescent="0.3">
      <c r="A84" s="1">
        <f t="shared" si="25"/>
        <v>83</v>
      </c>
      <c r="B84" s="1">
        <f ca="1">Retailer!H83</f>
        <v>11</v>
      </c>
      <c r="C84" s="1">
        <f ca="1">ROUNDUP(AVERAGE(Distributor!B82,Distributor!B83),0)</f>
        <v>21</v>
      </c>
      <c r="D84" s="1">
        <f t="shared" ca="1" si="12"/>
        <v>63</v>
      </c>
      <c r="E84" s="1">
        <f ca="1">Manufacturer!J83</f>
        <v>25</v>
      </c>
      <c r="F84" s="1">
        <f ca="1">IF(A84=1,'Data Considered'!$B$5,Distributor!L83+Distributor!E84)</f>
        <v>34</v>
      </c>
      <c r="G84" s="1">
        <f t="shared" ca="1" si="17"/>
        <v>35</v>
      </c>
      <c r="H84" s="1">
        <f t="shared" ca="1" si="18"/>
        <v>28</v>
      </c>
      <c r="I84" s="1">
        <f t="shared" ca="1" si="20"/>
        <v>34</v>
      </c>
      <c r="J84" s="1">
        <f t="shared" ca="1" si="26"/>
        <v>11</v>
      </c>
      <c r="K84" s="1">
        <f t="shared" ca="1" si="19"/>
        <v>0</v>
      </c>
      <c r="L84" s="1">
        <f t="shared" ca="1" si="13"/>
        <v>23</v>
      </c>
      <c r="M84" s="1">
        <f ca="1">J84*'Data Considered'!$B$9</f>
        <v>1540</v>
      </c>
      <c r="N84" s="1">
        <f ca="1">Retailer!P84</f>
        <v>2660</v>
      </c>
      <c r="O84" s="1">
        <f ca="1">E84*'Data Considered'!$B$10</f>
        <v>2500</v>
      </c>
      <c r="P84" s="1">
        <f ca="1">IF(A84&gt;'Data Considered'!$B$15,OFFSET(Distributor!O84,-'Data Considered'!$B$15,0),0)</f>
        <v>0</v>
      </c>
      <c r="Q84" s="1">
        <f t="shared" ca="1" si="21"/>
        <v>2353</v>
      </c>
      <c r="R84" s="1">
        <f ca="1">IF(A84=1,'Data Considered'!$B$17,Distributor!R83+Distributor!Q84)</f>
        <v>51923</v>
      </c>
      <c r="S84" s="1">
        <f ca="1">J84*'Data Considered'!$D$9</f>
        <v>77</v>
      </c>
      <c r="T84" s="1">
        <f ca="1">L84*'Data Considered'!$B$21</f>
        <v>230</v>
      </c>
      <c r="U84" s="1">
        <f ca="1">K84*'Data Considered'!$B$25</f>
        <v>0</v>
      </c>
      <c r="V84" s="1">
        <f t="shared" ca="1" si="22"/>
        <v>2</v>
      </c>
      <c r="W84" s="1">
        <f ca="1">V84+'Data Considered'!$B$14-'Data Considered'!$B$15</f>
        <v>2</v>
      </c>
      <c r="X84" s="1">
        <f t="shared" ca="1" si="23"/>
        <v>77</v>
      </c>
      <c r="Y84" s="1">
        <f t="shared" ca="1" si="24"/>
        <v>2660</v>
      </c>
    </row>
    <row r="85" spans="1:25" x14ac:dyDescent="0.3">
      <c r="A85" s="1">
        <f t="shared" si="25"/>
        <v>84</v>
      </c>
      <c r="B85" s="1">
        <f ca="1">Retailer!H84</f>
        <v>14</v>
      </c>
      <c r="C85" s="1">
        <f ca="1">ROUNDUP(AVERAGE(Distributor!B83,Distributor!B84),0)</f>
        <v>17</v>
      </c>
      <c r="D85" s="1">
        <f t="shared" ca="1" si="12"/>
        <v>51</v>
      </c>
      <c r="E85" s="1">
        <f ca="1">Manufacturer!J84</f>
        <v>1</v>
      </c>
      <c r="F85" s="1">
        <f ca="1">IF(A85=1,'Data Considered'!$B$5,Distributor!L84+Distributor!E85)</f>
        <v>24</v>
      </c>
      <c r="G85" s="1">
        <f t="shared" ca="1" si="17"/>
        <v>52</v>
      </c>
      <c r="H85" s="1">
        <f t="shared" ca="1" si="18"/>
        <v>0</v>
      </c>
      <c r="I85" s="1">
        <f t="shared" ca="1" si="20"/>
        <v>24</v>
      </c>
      <c r="J85" s="1">
        <f t="shared" ca="1" si="26"/>
        <v>14</v>
      </c>
      <c r="K85" s="1">
        <f t="shared" ca="1" si="19"/>
        <v>0</v>
      </c>
      <c r="L85" s="1">
        <f t="shared" ca="1" si="13"/>
        <v>10</v>
      </c>
      <c r="M85" s="1">
        <f ca="1">J85*'Data Considered'!$B$9</f>
        <v>1960</v>
      </c>
      <c r="N85" s="1">
        <f ca="1">Retailer!P85</f>
        <v>2660</v>
      </c>
      <c r="O85" s="1">
        <f ca="1">E85*'Data Considered'!$B$10</f>
        <v>100</v>
      </c>
      <c r="P85" s="1">
        <f ca="1">IF(A85&gt;'Data Considered'!$B$15,OFFSET(Distributor!O85,-'Data Considered'!$B$15,0),0)</f>
        <v>0</v>
      </c>
      <c r="Q85" s="1">
        <f t="shared" ca="1" si="21"/>
        <v>2462</v>
      </c>
      <c r="R85" s="1">
        <f ca="1">IF(A85=1,'Data Considered'!$B$17,Distributor!R84+Distributor!Q85)</f>
        <v>54385</v>
      </c>
      <c r="S85" s="1">
        <f ca="1">J85*'Data Considered'!$D$9</f>
        <v>98</v>
      </c>
      <c r="T85" s="1">
        <f ca="1">L85*'Data Considered'!$B$21</f>
        <v>100</v>
      </c>
      <c r="U85" s="1">
        <f ca="1">K85*'Data Considered'!$B$25</f>
        <v>0</v>
      </c>
      <c r="V85" s="1">
        <f t="shared" ca="1" si="22"/>
        <v>1</v>
      </c>
      <c r="W85" s="1">
        <f ca="1">V85+'Data Considered'!$B$14-'Data Considered'!$B$15</f>
        <v>1</v>
      </c>
      <c r="X85" s="1">
        <f t="shared" ca="1" si="23"/>
        <v>98</v>
      </c>
      <c r="Y85" s="1">
        <f t="shared" ca="1" si="24"/>
        <v>3080</v>
      </c>
    </row>
    <row r="86" spans="1:25" x14ac:dyDescent="0.3">
      <c r="A86" s="1">
        <f t="shared" si="25"/>
        <v>85</v>
      </c>
      <c r="B86" s="1">
        <f ca="1">Retailer!H85</f>
        <v>28</v>
      </c>
      <c r="C86" s="1">
        <f ca="1">ROUNDUP(AVERAGE(Distributor!B84,Distributor!B85),0)</f>
        <v>13</v>
      </c>
      <c r="D86" s="1">
        <f t="shared" ca="1" si="12"/>
        <v>39</v>
      </c>
      <c r="E86" s="1">
        <f ca="1">Manufacturer!J85</f>
        <v>28</v>
      </c>
      <c r="F86" s="1">
        <f ca="1">IF(A86=1,'Data Considered'!$B$5,Distributor!L85+Distributor!E86)</f>
        <v>38</v>
      </c>
      <c r="G86" s="1">
        <f t="shared" ca="1" si="17"/>
        <v>38</v>
      </c>
      <c r="H86" s="1">
        <f t="shared" ca="1" si="18"/>
        <v>1</v>
      </c>
      <c r="I86" s="1">
        <f t="shared" ca="1" si="20"/>
        <v>38</v>
      </c>
      <c r="J86" s="1">
        <f t="shared" ca="1" si="26"/>
        <v>28</v>
      </c>
      <c r="K86" s="1">
        <f t="shared" ca="1" si="19"/>
        <v>0</v>
      </c>
      <c r="L86" s="1">
        <f t="shared" ca="1" si="13"/>
        <v>10</v>
      </c>
      <c r="M86" s="1">
        <f ca="1">J86*'Data Considered'!$B$9</f>
        <v>3920</v>
      </c>
      <c r="N86" s="1">
        <f ca="1">Retailer!P86</f>
        <v>3080</v>
      </c>
      <c r="O86" s="1">
        <f ca="1">E86*'Data Considered'!$B$10</f>
        <v>2800</v>
      </c>
      <c r="P86" s="1">
        <f ca="1">IF(A86&gt;'Data Considered'!$B$15,OFFSET(Distributor!O86,-'Data Considered'!$B$15,0),0)</f>
        <v>2500</v>
      </c>
      <c r="Q86" s="1">
        <f t="shared" ca="1" si="21"/>
        <v>284</v>
      </c>
      <c r="R86" s="1">
        <f ca="1">IF(A86=1,'Data Considered'!$B$17,Distributor!R85+Distributor!Q86)</f>
        <v>54669</v>
      </c>
      <c r="S86" s="1">
        <f ca="1">J86*'Data Considered'!$D$9</f>
        <v>196</v>
      </c>
      <c r="T86" s="1">
        <f ca="1">L86*'Data Considered'!$B$21</f>
        <v>100</v>
      </c>
      <c r="U86" s="1">
        <f ca="1">K86*'Data Considered'!$B$25</f>
        <v>0</v>
      </c>
      <c r="V86" s="1">
        <f t="shared" ca="1" si="22"/>
        <v>1</v>
      </c>
      <c r="W86" s="1">
        <f ca="1">V86+'Data Considered'!$B$14-'Data Considered'!$B$15</f>
        <v>1</v>
      </c>
      <c r="X86" s="1">
        <f t="shared" ca="1" si="23"/>
        <v>2696</v>
      </c>
      <c r="Y86" s="1">
        <f t="shared" ca="1" si="24"/>
        <v>1540</v>
      </c>
    </row>
    <row r="87" spans="1:25" x14ac:dyDescent="0.3">
      <c r="A87" s="1">
        <f t="shared" si="25"/>
        <v>86</v>
      </c>
      <c r="B87" s="1">
        <f ca="1">Retailer!H86</f>
        <v>27</v>
      </c>
      <c r="C87" s="1">
        <f ca="1">ROUNDUP(AVERAGE(Distributor!B85,Distributor!B86),0)</f>
        <v>21</v>
      </c>
      <c r="D87" s="1">
        <f t="shared" ca="1" si="12"/>
        <v>63</v>
      </c>
      <c r="E87" s="1">
        <f ca="1">Manufacturer!J86</f>
        <v>0</v>
      </c>
      <c r="F87" s="1">
        <f ca="1">IF(A87=1,'Data Considered'!$B$5,Distributor!L86+Distributor!E87)</f>
        <v>10</v>
      </c>
      <c r="G87" s="1">
        <f t="shared" ca="1" si="17"/>
        <v>11</v>
      </c>
      <c r="H87" s="1">
        <f t="shared" ca="1" si="18"/>
        <v>52</v>
      </c>
      <c r="I87" s="1">
        <f t="shared" ca="1" si="20"/>
        <v>10</v>
      </c>
      <c r="J87" s="1">
        <f t="shared" ca="1" si="26"/>
        <v>10</v>
      </c>
      <c r="K87" s="1">
        <f t="shared" ca="1" si="19"/>
        <v>17</v>
      </c>
      <c r="L87" s="1">
        <f t="shared" ca="1" si="13"/>
        <v>0</v>
      </c>
      <c r="M87" s="1">
        <f ca="1">J87*'Data Considered'!$B$9</f>
        <v>1400</v>
      </c>
      <c r="N87" s="1">
        <f ca="1">Retailer!P87</f>
        <v>1540</v>
      </c>
      <c r="O87" s="1">
        <f ca="1">E87*'Data Considered'!$B$10</f>
        <v>0</v>
      </c>
      <c r="P87" s="1">
        <f ca="1">IF(A87&gt;'Data Considered'!$B$15,OFFSET(Distributor!O87,-'Data Considered'!$B$15,0),0)</f>
        <v>100</v>
      </c>
      <c r="Q87" s="1">
        <f t="shared" ca="1" si="21"/>
        <v>1370</v>
      </c>
      <c r="R87" s="1">
        <f ca="1">IF(A87=1,'Data Considered'!$B$17,Distributor!R86+Distributor!Q87)</f>
        <v>56039</v>
      </c>
      <c r="S87" s="1">
        <f ca="1">J87*'Data Considered'!$D$9</f>
        <v>70</v>
      </c>
      <c r="T87" s="1">
        <f ca="1">L87*'Data Considered'!$B$21</f>
        <v>0</v>
      </c>
      <c r="U87" s="1">
        <f ca="1">K87*'Data Considered'!$B$25</f>
        <v>510</v>
      </c>
      <c r="V87" s="1">
        <f t="shared" ca="1" si="22"/>
        <v>0</v>
      </c>
      <c r="W87" s="1">
        <f ca="1">V87+'Data Considered'!$B$14-'Data Considered'!$B$15</f>
        <v>0</v>
      </c>
      <c r="X87" s="1">
        <f t="shared" ca="1" si="23"/>
        <v>170</v>
      </c>
      <c r="Y87" s="1">
        <f t="shared" ca="1" si="24"/>
        <v>1960</v>
      </c>
    </row>
    <row r="88" spans="1:25" x14ac:dyDescent="0.3">
      <c r="A88" s="1">
        <f t="shared" si="25"/>
        <v>87</v>
      </c>
      <c r="B88" s="1">
        <f ca="1">Retailer!H87</f>
        <v>26</v>
      </c>
      <c r="C88" s="1">
        <f ca="1">ROUNDUP(AVERAGE(Distributor!B86,Distributor!B87),0)</f>
        <v>28</v>
      </c>
      <c r="D88" s="1">
        <f t="shared" ca="1" si="12"/>
        <v>84</v>
      </c>
      <c r="E88" s="1">
        <f ca="1">Manufacturer!J87</f>
        <v>1</v>
      </c>
      <c r="F88" s="1">
        <f ca="1">IF(A88=1,'Data Considered'!$B$5,Distributor!L87+Distributor!E88)</f>
        <v>1</v>
      </c>
      <c r="G88" s="1">
        <f t="shared" ca="1" si="17"/>
        <v>53</v>
      </c>
      <c r="H88" s="1">
        <f t="shared" ca="1" si="18"/>
        <v>31</v>
      </c>
      <c r="I88" s="1">
        <f t="shared" ca="1" si="20"/>
        <v>1</v>
      </c>
      <c r="J88" s="1">
        <f t="shared" ca="1" si="26"/>
        <v>1</v>
      </c>
      <c r="K88" s="1">
        <f t="shared" ca="1" si="19"/>
        <v>25</v>
      </c>
      <c r="L88" s="1">
        <f t="shared" ca="1" si="13"/>
        <v>0</v>
      </c>
      <c r="M88" s="1">
        <f ca="1">J88*'Data Considered'!$B$9</f>
        <v>140</v>
      </c>
      <c r="N88" s="1">
        <f ca="1">Retailer!P88</f>
        <v>1960</v>
      </c>
      <c r="O88" s="1">
        <f ca="1">E88*'Data Considered'!$B$10</f>
        <v>100</v>
      </c>
      <c r="P88" s="1">
        <f ca="1">IF(A88&gt;'Data Considered'!$B$15,OFFSET(Distributor!O88,-'Data Considered'!$B$15,0),0)</f>
        <v>2800</v>
      </c>
      <c r="Q88" s="1">
        <f t="shared" ca="1" si="21"/>
        <v>-847</v>
      </c>
      <c r="R88" s="1">
        <f ca="1">IF(A88=1,'Data Considered'!$B$17,Distributor!R87+Distributor!Q88)</f>
        <v>55192</v>
      </c>
      <c r="S88" s="1">
        <f ca="1">J88*'Data Considered'!$D$9</f>
        <v>7</v>
      </c>
      <c r="T88" s="1">
        <f ca="1">L88*'Data Considered'!$B$21</f>
        <v>0</v>
      </c>
      <c r="U88" s="1">
        <f ca="1">K88*'Data Considered'!$B$25</f>
        <v>750</v>
      </c>
      <c r="V88" s="1">
        <f t="shared" ca="1" si="22"/>
        <v>0</v>
      </c>
      <c r="W88" s="1">
        <f ca="1">V88+'Data Considered'!$B$14-'Data Considered'!$B$15</f>
        <v>0</v>
      </c>
      <c r="X88" s="1">
        <f t="shared" ca="1" si="23"/>
        <v>2807</v>
      </c>
      <c r="Y88" s="1">
        <f t="shared" ca="1" si="24"/>
        <v>3920</v>
      </c>
    </row>
    <row r="89" spans="1:25" x14ac:dyDescent="0.3">
      <c r="A89" s="1">
        <f t="shared" si="25"/>
        <v>88</v>
      </c>
      <c r="B89" s="1">
        <f ca="1">Retailer!H88</f>
        <v>10</v>
      </c>
      <c r="C89" s="1">
        <f ca="1">ROUNDUP(AVERAGE(Distributor!B87,Distributor!B88),0)</f>
        <v>27</v>
      </c>
      <c r="D89" s="1">
        <f t="shared" ca="1" si="12"/>
        <v>81</v>
      </c>
      <c r="E89" s="1">
        <f ca="1">Manufacturer!J88</f>
        <v>50</v>
      </c>
      <c r="F89" s="1">
        <f ca="1">IF(A89=1,'Data Considered'!$B$5,Distributor!L88+Distributor!E89)</f>
        <v>50</v>
      </c>
      <c r="G89" s="1">
        <f t="shared" ca="1" si="17"/>
        <v>81</v>
      </c>
      <c r="H89" s="1">
        <f t="shared" ca="1" si="18"/>
        <v>0</v>
      </c>
      <c r="I89" s="1">
        <f t="shared" ca="1" si="20"/>
        <v>50</v>
      </c>
      <c r="J89" s="1">
        <f t="shared" ca="1" si="26"/>
        <v>10</v>
      </c>
      <c r="K89" s="1">
        <f t="shared" ca="1" si="19"/>
        <v>0</v>
      </c>
      <c r="L89" s="1">
        <f t="shared" ca="1" si="13"/>
        <v>40</v>
      </c>
      <c r="M89" s="1">
        <f ca="1">J89*'Data Considered'!$B$9</f>
        <v>1400</v>
      </c>
      <c r="N89" s="1">
        <f ca="1">Retailer!P89</f>
        <v>3920</v>
      </c>
      <c r="O89" s="1">
        <f ca="1">E89*'Data Considered'!$B$10</f>
        <v>5000</v>
      </c>
      <c r="P89" s="1">
        <f ca="1">IF(A89&gt;'Data Considered'!$B$15,OFFSET(Distributor!O89,-'Data Considered'!$B$15,0),0)</f>
        <v>0</v>
      </c>
      <c r="Q89" s="1">
        <f t="shared" ca="1" si="21"/>
        <v>3450</v>
      </c>
      <c r="R89" s="1">
        <f ca="1">IF(A89=1,'Data Considered'!$B$17,Distributor!R88+Distributor!Q89)</f>
        <v>58642</v>
      </c>
      <c r="S89" s="1">
        <f ca="1">J89*'Data Considered'!$D$9</f>
        <v>70</v>
      </c>
      <c r="T89" s="1">
        <f ca="1">L89*'Data Considered'!$B$21</f>
        <v>400</v>
      </c>
      <c r="U89" s="1">
        <f ca="1">K89*'Data Considered'!$B$25</f>
        <v>0</v>
      </c>
      <c r="V89" s="1">
        <f t="shared" ca="1" si="22"/>
        <v>3</v>
      </c>
      <c r="W89" s="1">
        <f ca="1">V89+'Data Considered'!$B$14-'Data Considered'!$B$15</f>
        <v>3</v>
      </c>
      <c r="X89" s="1">
        <f t="shared" ca="1" si="23"/>
        <v>70</v>
      </c>
      <c r="Y89" s="1">
        <f t="shared" ca="1" si="24"/>
        <v>1400</v>
      </c>
    </row>
    <row r="90" spans="1:25" x14ac:dyDescent="0.3">
      <c r="A90" s="1">
        <f t="shared" si="25"/>
        <v>89</v>
      </c>
      <c r="B90" s="1">
        <f ca="1">Retailer!H89</f>
        <v>20</v>
      </c>
      <c r="C90" s="1">
        <f ca="1">ROUNDUP(AVERAGE(Distributor!B88,Distributor!B89),0)</f>
        <v>18</v>
      </c>
      <c r="D90" s="1">
        <f t="shared" ca="1" si="12"/>
        <v>54</v>
      </c>
      <c r="E90" s="1">
        <f ca="1">Manufacturer!J89</f>
        <v>0</v>
      </c>
      <c r="F90" s="1">
        <f ca="1">IF(A90=1,'Data Considered'!$B$5,Distributor!L89+Distributor!E90)</f>
        <v>40</v>
      </c>
      <c r="G90" s="1">
        <f t="shared" ca="1" si="17"/>
        <v>40</v>
      </c>
      <c r="H90" s="1">
        <f t="shared" ca="1" si="18"/>
        <v>14</v>
      </c>
      <c r="I90" s="1">
        <f t="shared" ca="1" si="20"/>
        <v>40</v>
      </c>
      <c r="J90" s="1">
        <f t="shared" ca="1" si="26"/>
        <v>20</v>
      </c>
      <c r="K90" s="1">
        <f t="shared" ca="1" si="19"/>
        <v>0</v>
      </c>
      <c r="L90" s="1">
        <f t="shared" ca="1" si="13"/>
        <v>20</v>
      </c>
      <c r="M90" s="1">
        <f ca="1">J90*'Data Considered'!$B$9</f>
        <v>2800</v>
      </c>
      <c r="N90" s="1">
        <f ca="1">Retailer!P90</f>
        <v>1400</v>
      </c>
      <c r="O90" s="1">
        <f ca="1">E90*'Data Considered'!$B$10</f>
        <v>0</v>
      </c>
      <c r="P90" s="1">
        <f ca="1">IF(A90&gt;'Data Considered'!$B$15,OFFSET(Distributor!O90,-'Data Considered'!$B$15,0),0)</f>
        <v>100</v>
      </c>
      <c r="Q90" s="1">
        <f t="shared" ca="1" si="21"/>
        <v>960</v>
      </c>
      <c r="R90" s="1">
        <f ca="1">IF(A90=1,'Data Considered'!$B$17,Distributor!R89+Distributor!Q90)</f>
        <v>59602</v>
      </c>
      <c r="S90" s="1">
        <f ca="1">J90*'Data Considered'!$D$9</f>
        <v>140</v>
      </c>
      <c r="T90" s="1">
        <f ca="1">L90*'Data Considered'!$B$21</f>
        <v>200</v>
      </c>
      <c r="U90" s="1">
        <f ca="1">K90*'Data Considered'!$B$25</f>
        <v>0</v>
      </c>
      <c r="V90" s="1">
        <f t="shared" ca="1" si="22"/>
        <v>2</v>
      </c>
      <c r="W90" s="1">
        <f ca="1">V90+'Data Considered'!$B$14-'Data Considered'!$B$15</f>
        <v>2</v>
      </c>
      <c r="X90" s="1">
        <f t="shared" ca="1" si="23"/>
        <v>240</v>
      </c>
      <c r="Y90" s="1">
        <f t="shared" ca="1" si="24"/>
        <v>140</v>
      </c>
    </row>
    <row r="91" spans="1:25" x14ac:dyDescent="0.3">
      <c r="A91" s="1">
        <f t="shared" si="25"/>
        <v>90</v>
      </c>
      <c r="B91" s="1">
        <f ca="1">Retailer!H90</f>
        <v>39</v>
      </c>
      <c r="C91" s="1">
        <f ca="1">ROUNDUP(AVERAGE(Distributor!B89,Distributor!B90),0)</f>
        <v>15</v>
      </c>
      <c r="D91" s="1">
        <f t="shared" ca="1" si="12"/>
        <v>45</v>
      </c>
      <c r="E91" s="1">
        <f ca="1">Manufacturer!J90</f>
        <v>0</v>
      </c>
      <c r="F91" s="1">
        <f ca="1">IF(A91=1,'Data Considered'!$B$5,Distributor!L90+Distributor!E91)</f>
        <v>20</v>
      </c>
      <c r="G91" s="1">
        <f t="shared" ca="1" si="17"/>
        <v>34</v>
      </c>
      <c r="H91" s="1">
        <f t="shared" ca="1" si="18"/>
        <v>11</v>
      </c>
      <c r="I91" s="1">
        <f t="shared" ca="1" si="20"/>
        <v>20</v>
      </c>
      <c r="J91" s="1">
        <f t="shared" ca="1" si="26"/>
        <v>20</v>
      </c>
      <c r="K91" s="1">
        <f t="shared" ca="1" si="19"/>
        <v>19</v>
      </c>
      <c r="L91" s="1">
        <f t="shared" ca="1" si="13"/>
        <v>0</v>
      </c>
      <c r="M91" s="1">
        <f ca="1">J91*'Data Considered'!$B$9</f>
        <v>2800</v>
      </c>
      <c r="N91" s="1">
        <f ca="1">Retailer!P91</f>
        <v>140</v>
      </c>
      <c r="O91" s="1">
        <f ca="1">E91*'Data Considered'!$B$10</f>
        <v>0</v>
      </c>
      <c r="P91" s="1">
        <f ca="1">IF(A91&gt;'Data Considered'!$B$15,OFFSET(Distributor!O91,-'Data Considered'!$B$15,0),0)</f>
        <v>5000</v>
      </c>
      <c r="Q91" s="1">
        <f t="shared" ca="1" si="21"/>
        <v>-5000</v>
      </c>
      <c r="R91" s="1">
        <f ca="1">IF(A91=1,'Data Considered'!$B$17,Distributor!R90+Distributor!Q91)</f>
        <v>54602</v>
      </c>
      <c r="S91" s="1">
        <f ca="1">J91*'Data Considered'!$D$9</f>
        <v>140</v>
      </c>
      <c r="T91" s="1">
        <f ca="1">L91*'Data Considered'!$B$21</f>
        <v>0</v>
      </c>
      <c r="U91" s="1">
        <f ca="1">K91*'Data Considered'!$B$25</f>
        <v>570</v>
      </c>
      <c r="V91" s="1">
        <f t="shared" ca="1" si="22"/>
        <v>0</v>
      </c>
      <c r="W91" s="1">
        <f ca="1">V91+'Data Considered'!$B$14-'Data Considered'!$B$15</f>
        <v>0</v>
      </c>
      <c r="X91" s="1">
        <f t="shared" ca="1" si="23"/>
        <v>5140</v>
      </c>
      <c r="Y91" s="1">
        <f t="shared" ca="1" si="24"/>
        <v>1400</v>
      </c>
    </row>
    <row r="92" spans="1:25" x14ac:dyDescent="0.3">
      <c r="A92" s="1">
        <f t="shared" si="25"/>
        <v>91</v>
      </c>
      <c r="B92" s="1">
        <f ca="1">Retailer!H91</f>
        <v>25</v>
      </c>
      <c r="C92" s="1">
        <f ca="1">ROUNDUP(AVERAGE(Distributor!B90,Distributor!B91),0)</f>
        <v>30</v>
      </c>
      <c r="D92" s="1">
        <f t="shared" ca="1" si="12"/>
        <v>90</v>
      </c>
      <c r="E92" s="1">
        <f ca="1">Manufacturer!J91</f>
        <v>14</v>
      </c>
      <c r="F92" s="1">
        <f ca="1">IF(A92=1,'Data Considered'!$B$5,Distributor!L91+Distributor!E92)</f>
        <v>14</v>
      </c>
      <c r="G92" s="1">
        <f t="shared" ca="1" si="17"/>
        <v>25</v>
      </c>
      <c r="H92" s="1">
        <f t="shared" ca="1" si="18"/>
        <v>65</v>
      </c>
      <c r="I92" s="1">
        <f t="shared" ca="1" si="20"/>
        <v>14</v>
      </c>
      <c r="J92" s="1">
        <f t="shared" ca="1" si="26"/>
        <v>14</v>
      </c>
      <c r="K92" s="1">
        <f t="shared" ca="1" si="19"/>
        <v>11</v>
      </c>
      <c r="L92" s="1">
        <f t="shared" ca="1" si="13"/>
        <v>0</v>
      </c>
      <c r="M92" s="1">
        <f ca="1">J92*'Data Considered'!$B$9</f>
        <v>1960</v>
      </c>
      <c r="N92" s="1">
        <f ca="1">Retailer!P92</f>
        <v>1400</v>
      </c>
      <c r="O92" s="1">
        <f ca="1">E92*'Data Considered'!$B$10</f>
        <v>1400</v>
      </c>
      <c r="P92" s="1">
        <f ca="1">IF(A92&gt;'Data Considered'!$B$15,OFFSET(Distributor!O92,-'Data Considered'!$B$15,0),0)</f>
        <v>0</v>
      </c>
      <c r="Q92" s="1">
        <f t="shared" ca="1" si="21"/>
        <v>1302</v>
      </c>
      <c r="R92" s="1">
        <f ca="1">IF(A92=1,'Data Considered'!$B$17,Distributor!R91+Distributor!Q92)</f>
        <v>55904</v>
      </c>
      <c r="S92" s="1">
        <f ca="1">J92*'Data Considered'!$D$9</f>
        <v>98</v>
      </c>
      <c r="T92" s="1">
        <f ca="1">L92*'Data Considered'!$B$21</f>
        <v>0</v>
      </c>
      <c r="U92" s="1">
        <f ca="1">K92*'Data Considered'!$B$25</f>
        <v>330</v>
      </c>
      <c r="V92" s="1">
        <f t="shared" ca="1" si="22"/>
        <v>0</v>
      </c>
      <c r="W92" s="1">
        <f ca="1">V92+'Data Considered'!$B$14-'Data Considered'!$B$15</f>
        <v>0</v>
      </c>
      <c r="X92" s="1">
        <f t="shared" ca="1" si="23"/>
        <v>98</v>
      </c>
      <c r="Y92" s="1">
        <f t="shared" ca="1" si="24"/>
        <v>2800</v>
      </c>
    </row>
    <row r="93" spans="1:25" x14ac:dyDescent="0.3">
      <c r="A93" s="1">
        <f t="shared" si="25"/>
        <v>92</v>
      </c>
      <c r="B93" s="1">
        <f ca="1">Retailer!H92</f>
        <v>36</v>
      </c>
      <c r="C93" s="1">
        <f ca="1">ROUNDUP(AVERAGE(Distributor!B91,Distributor!B92),0)</f>
        <v>32</v>
      </c>
      <c r="D93" s="1">
        <f t="shared" ca="1" si="12"/>
        <v>96</v>
      </c>
      <c r="E93" s="1">
        <f ca="1">Manufacturer!J92</f>
        <v>11</v>
      </c>
      <c r="F93" s="1">
        <f ca="1">IF(A93=1,'Data Considered'!$B$5,Distributor!L92+Distributor!E93)</f>
        <v>11</v>
      </c>
      <c r="G93" s="1">
        <f t="shared" ca="1" si="17"/>
        <v>76</v>
      </c>
      <c r="H93" s="1">
        <f t="shared" ca="1" si="18"/>
        <v>20</v>
      </c>
      <c r="I93" s="1">
        <f t="shared" ca="1" si="20"/>
        <v>11</v>
      </c>
      <c r="J93" s="1">
        <f t="shared" ca="1" si="26"/>
        <v>11</v>
      </c>
      <c r="K93" s="1">
        <f t="shared" ca="1" si="19"/>
        <v>25</v>
      </c>
      <c r="L93" s="1">
        <f t="shared" ca="1" si="13"/>
        <v>0</v>
      </c>
      <c r="M93" s="1">
        <f ca="1">J93*'Data Considered'!$B$9</f>
        <v>1540</v>
      </c>
      <c r="N93" s="1">
        <f ca="1">Retailer!P93</f>
        <v>2800</v>
      </c>
      <c r="O93" s="1">
        <f ca="1">E93*'Data Considered'!$B$10</f>
        <v>1100</v>
      </c>
      <c r="P93" s="1">
        <f ca="1">IF(A93&gt;'Data Considered'!$B$15,OFFSET(Distributor!O93,-'Data Considered'!$B$15,0),0)</f>
        <v>0</v>
      </c>
      <c r="Q93" s="1">
        <f t="shared" ca="1" si="21"/>
        <v>2723</v>
      </c>
      <c r="R93" s="1">
        <f ca="1">IF(A93=1,'Data Considered'!$B$17,Distributor!R92+Distributor!Q93)</f>
        <v>58627</v>
      </c>
      <c r="S93" s="1">
        <f ca="1">J93*'Data Considered'!$D$9</f>
        <v>77</v>
      </c>
      <c r="T93" s="1">
        <f ca="1">L93*'Data Considered'!$B$21</f>
        <v>0</v>
      </c>
      <c r="U93" s="1">
        <f ca="1">K93*'Data Considered'!$B$25</f>
        <v>750</v>
      </c>
      <c r="V93" s="1">
        <f t="shared" ca="1" si="22"/>
        <v>0</v>
      </c>
      <c r="W93" s="1">
        <f ca="1">V93+'Data Considered'!$B$14-'Data Considered'!$B$15</f>
        <v>0</v>
      </c>
      <c r="X93" s="1">
        <f t="shared" ca="1" si="23"/>
        <v>77</v>
      </c>
      <c r="Y93" s="1">
        <f t="shared" ca="1" si="24"/>
        <v>2800</v>
      </c>
    </row>
    <row r="94" spans="1:25" x14ac:dyDescent="0.3">
      <c r="A94" s="1">
        <f t="shared" si="25"/>
        <v>93</v>
      </c>
      <c r="B94" s="1">
        <f ca="1">Retailer!H93</f>
        <v>34</v>
      </c>
      <c r="C94" s="1">
        <f ca="1">ROUNDUP(AVERAGE(Distributor!B92,Distributor!B93),0)</f>
        <v>31</v>
      </c>
      <c r="D94" s="1">
        <f t="shared" ca="1" si="12"/>
        <v>93</v>
      </c>
      <c r="E94" s="1">
        <f ca="1">Manufacturer!J93</f>
        <v>65</v>
      </c>
      <c r="F94" s="1">
        <f ca="1">IF(A94=1,'Data Considered'!$B$5,Distributor!L93+Distributor!E94)</f>
        <v>65</v>
      </c>
      <c r="G94" s="1">
        <f t="shared" ca="1" si="17"/>
        <v>85</v>
      </c>
      <c r="H94" s="1">
        <f t="shared" ca="1" si="18"/>
        <v>8</v>
      </c>
      <c r="I94" s="1">
        <f t="shared" ca="1" si="20"/>
        <v>65</v>
      </c>
      <c r="J94" s="1">
        <f t="shared" ca="1" si="26"/>
        <v>34</v>
      </c>
      <c r="K94" s="1">
        <f t="shared" ca="1" si="19"/>
        <v>0</v>
      </c>
      <c r="L94" s="1">
        <f t="shared" ca="1" si="13"/>
        <v>31</v>
      </c>
      <c r="M94" s="1">
        <f ca="1">J94*'Data Considered'!$B$9</f>
        <v>4760</v>
      </c>
      <c r="N94" s="1">
        <f ca="1">Retailer!P94</f>
        <v>2800</v>
      </c>
      <c r="O94" s="1">
        <f ca="1">E94*'Data Considered'!$B$10</f>
        <v>6500</v>
      </c>
      <c r="P94" s="1">
        <f ca="1">IF(A94&gt;'Data Considered'!$B$15,OFFSET(Distributor!O94,-'Data Considered'!$B$15,0),0)</f>
        <v>1400</v>
      </c>
      <c r="Q94" s="1">
        <f t="shared" ca="1" si="21"/>
        <v>852</v>
      </c>
      <c r="R94" s="1">
        <f ca="1">IF(A94=1,'Data Considered'!$B$17,Distributor!R93+Distributor!Q94)</f>
        <v>59479</v>
      </c>
      <c r="S94" s="1">
        <f ca="1">J94*'Data Considered'!$D$9</f>
        <v>238</v>
      </c>
      <c r="T94" s="1">
        <f ca="1">L94*'Data Considered'!$B$21</f>
        <v>310</v>
      </c>
      <c r="U94" s="1">
        <f ca="1">K94*'Data Considered'!$B$25</f>
        <v>0</v>
      </c>
      <c r="V94" s="1">
        <f t="shared" ca="1" si="22"/>
        <v>2</v>
      </c>
      <c r="W94" s="1">
        <f ca="1">V94+'Data Considered'!$B$14-'Data Considered'!$B$15</f>
        <v>2</v>
      </c>
      <c r="X94" s="1">
        <f t="shared" ca="1" si="23"/>
        <v>1638</v>
      </c>
      <c r="Y94" s="1">
        <f t="shared" ca="1" si="24"/>
        <v>1960</v>
      </c>
    </row>
    <row r="95" spans="1:25" x14ac:dyDescent="0.3">
      <c r="A95" s="1">
        <f t="shared" si="25"/>
        <v>94</v>
      </c>
      <c r="B95" s="1">
        <f ca="1">Retailer!H94</f>
        <v>36</v>
      </c>
      <c r="C95" s="1">
        <f ca="1">ROUNDUP(AVERAGE(Distributor!B93,Distributor!B94),0)</f>
        <v>35</v>
      </c>
      <c r="D95" s="1">
        <f t="shared" ca="1" si="12"/>
        <v>105</v>
      </c>
      <c r="E95" s="1">
        <f ca="1">Manufacturer!J94</f>
        <v>20</v>
      </c>
      <c r="F95" s="1">
        <f ca="1">IF(A95=1,'Data Considered'!$B$5,Distributor!L94+Distributor!E95)</f>
        <v>51</v>
      </c>
      <c r="G95" s="1">
        <f t="shared" ca="1" si="17"/>
        <v>59</v>
      </c>
      <c r="H95" s="1">
        <f t="shared" ca="1" si="18"/>
        <v>46</v>
      </c>
      <c r="I95" s="1">
        <f t="shared" ca="1" si="20"/>
        <v>51</v>
      </c>
      <c r="J95" s="1">
        <f t="shared" ca="1" si="26"/>
        <v>36</v>
      </c>
      <c r="K95" s="1">
        <f t="shared" ca="1" si="19"/>
        <v>0</v>
      </c>
      <c r="L95" s="1">
        <f t="shared" ca="1" si="13"/>
        <v>15</v>
      </c>
      <c r="M95" s="1">
        <f ca="1">J95*'Data Considered'!$B$9</f>
        <v>5040</v>
      </c>
      <c r="N95" s="1">
        <f ca="1">Retailer!P95</f>
        <v>1960</v>
      </c>
      <c r="O95" s="1">
        <f ca="1">E95*'Data Considered'!$B$10</f>
        <v>2000</v>
      </c>
      <c r="P95" s="1">
        <f ca="1">IF(A95&gt;'Data Considered'!$B$15,OFFSET(Distributor!O95,-'Data Considered'!$B$15,0),0)</f>
        <v>1100</v>
      </c>
      <c r="Q95" s="1">
        <f t="shared" ca="1" si="21"/>
        <v>458</v>
      </c>
      <c r="R95" s="1">
        <f ca="1">IF(A95=1,'Data Considered'!$B$17,Distributor!R94+Distributor!Q95)</f>
        <v>59937</v>
      </c>
      <c r="S95" s="1">
        <f ca="1">J95*'Data Considered'!$D$9</f>
        <v>252</v>
      </c>
      <c r="T95" s="1">
        <f ca="1">L95*'Data Considered'!$B$21</f>
        <v>150</v>
      </c>
      <c r="U95" s="1">
        <f ca="1">K95*'Data Considered'!$B$25</f>
        <v>0</v>
      </c>
      <c r="V95" s="1">
        <f t="shared" ca="1" si="22"/>
        <v>1</v>
      </c>
      <c r="W95" s="1">
        <f ca="1">V95+'Data Considered'!$B$14-'Data Considered'!$B$15</f>
        <v>1</v>
      </c>
      <c r="X95" s="1">
        <f t="shared" ca="1" si="23"/>
        <v>1352</v>
      </c>
      <c r="Y95" s="1">
        <f t="shared" ca="1" si="24"/>
        <v>1540</v>
      </c>
    </row>
    <row r="96" spans="1:25" x14ac:dyDescent="0.3">
      <c r="A96" s="1">
        <f t="shared" si="25"/>
        <v>95</v>
      </c>
      <c r="B96" s="1">
        <f ca="1">Retailer!H95</f>
        <v>11</v>
      </c>
      <c r="C96" s="1">
        <f ca="1">ROUNDUP(AVERAGE(Distributor!B94,Distributor!B95),0)</f>
        <v>35</v>
      </c>
      <c r="D96" s="1">
        <f t="shared" ref="D96:D105" ca="1" si="27">3*C96</f>
        <v>105</v>
      </c>
      <c r="E96" s="1">
        <f ca="1">Manufacturer!J95</f>
        <v>8</v>
      </c>
      <c r="F96" s="1">
        <f ca="1">IF(A96=1,'Data Considered'!$B$5,Distributor!L95+Distributor!E96)</f>
        <v>23</v>
      </c>
      <c r="G96" s="1">
        <f t="shared" ca="1" si="17"/>
        <v>69</v>
      </c>
      <c r="H96" s="1">
        <f t="shared" ca="1" si="18"/>
        <v>36</v>
      </c>
      <c r="I96" s="1">
        <f t="shared" ca="1" si="20"/>
        <v>23</v>
      </c>
      <c r="J96" s="1">
        <f t="shared" ca="1" si="26"/>
        <v>11</v>
      </c>
      <c r="K96" s="1">
        <f t="shared" ca="1" si="19"/>
        <v>0</v>
      </c>
      <c r="L96" s="1">
        <f t="shared" ref="L96:L105" ca="1" si="28">I96-J96</f>
        <v>12</v>
      </c>
      <c r="M96" s="1">
        <f ca="1">J96*'Data Considered'!$B$9</f>
        <v>1540</v>
      </c>
      <c r="N96" s="1">
        <f ca="1">Retailer!P96</f>
        <v>1540</v>
      </c>
      <c r="O96" s="1">
        <f ca="1">E96*'Data Considered'!$B$10</f>
        <v>800</v>
      </c>
      <c r="P96" s="1">
        <f ca="1">IF(A96&gt;'Data Considered'!$B$15,OFFSET(Distributor!O96,-'Data Considered'!$B$15,0),0)</f>
        <v>6500</v>
      </c>
      <c r="Q96" s="1">
        <f t="shared" ca="1" si="21"/>
        <v>-5157</v>
      </c>
      <c r="R96" s="1">
        <f ca="1">IF(A96=1,'Data Considered'!$B$17,Distributor!R95+Distributor!Q96)</f>
        <v>54780</v>
      </c>
      <c r="S96" s="1">
        <f ca="1">J96*'Data Considered'!$D$9</f>
        <v>77</v>
      </c>
      <c r="T96" s="1">
        <f ca="1">L96*'Data Considered'!$B$21</f>
        <v>120</v>
      </c>
      <c r="U96" s="1">
        <f ca="1">K96*'Data Considered'!$B$25</f>
        <v>0</v>
      </c>
      <c r="V96" s="1">
        <f t="shared" ca="1" si="22"/>
        <v>1</v>
      </c>
      <c r="W96" s="1">
        <f ca="1">V96+'Data Considered'!$B$14-'Data Considered'!$B$15</f>
        <v>1</v>
      </c>
      <c r="X96" s="1">
        <f t="shared" ca="1" si="23"/>
        <v>6577</v>
      </c>
      <c r="Y96" s="1">
        <f t="shared" ca="1" si="24"/>
        <v>4760</v>
      </c>
    </row>
    <row r="97" spans="1:25" x14ac:dyDescent="0.3">
      <c r="A97" s="1">
        <f t="shared" si="25"/>
        <v>96</v>
      </c>
      <c r="B97" s="1">
        <f ca="1">Retailer!H96</f>
        <v>10</v>
      </c>
      <c r="C97" s="1">
        <f ca="1">ROUNDUP(AVERAGE(Distributor!B95,Distributor!B96),0)</f>
        <v>24</v>
      </c>
      <c r="D97" s="1">
        <f t="shared" ca="1" si="27"/>
        <v>72</v>
      </c>
      <c r="E97" s="1">
        <f ca="1">Manufacturer!J96</f>
        <v>46</v>
      </c>
      <c r="F97" s="1">
        <f ca="1">IF(A97=1,'Data Considered'!$B$5,Distributor!L96+Distributor!E97)</f>
        <v>58</v>
      </c>
      <c r="G97" s="1">
        <f t="shared" ca="1" si="17"/>
        <v>94</v>
      </c>
      <c r="H97" s="1">
        <f t="shared" ca="1" si="18"/>
        <v>0</v>
      </c>
      <c r="I97" s="1">
        <f t="shared" ca="1" si="20"/>
        <v>58</v>
      </c>
      <c r="J97" s="1">
        <f t="shared" ca="1" si="26"/>
        <v>10</v>
      </c>
      <c r="K97" s="1">
        <f t="shared" ca="1" si="19"/>
        <v>0</v>
      </c>
      <c r="L97" s="1">
        <f t="shared" ca="1" si="28"/>
        <v>48</v>
      </c>
      <c r="M97" s="1">
        <f ca="1">J97*'Data Considered'!$B$9</f>
        <v>1400</v>
      </c>
      <c r="N97" s="1">
        <f ca="1">Retailer!P97</f>
        <v>4760</v>
      </c>
      <c r="O97" s="1">
        <f ca="1">E97*'Data Considered'!$B$10</f>
        <v>4600</v>
      </c>
      <c r="P97" s="1">
        <f ca="1">IF(A97&gt;'Data Considered'!$B$15,OFFSET(Distributor!O97,-'Data Considered'!$B$15,0),0)</f>
        <v>2000</v>
      </c>
      <c r="Q97" s="1">
        <f t="shared" ca="1" si="21"/>
        <v>2210</v>
      </c>
      <c r="R97" s="1">
        <f ca="1">IF(A97=1,'Data Considered'!$B$17,Distributor!R96+Distributor!Q97)</f>
        <v>56990</v>
      </c>
      <c r="S97" s="1">
        <f ca="1">J97*'Data Considered'!$D$9</f>
        <v>70</v>
      </c>
      <c r="T97" s="1">
        <f ca="1">L97*'Data Considered'!$B$21</f>
        <v>480</v>
      </c>
      <c r="U97" s="1">
        <f ca="1">K97*'Data Considered'!$B$25</f>
        <v>0</v>
      </c>
      <c r="V97" s="1">
        <f t="shared" ca="1" si="22"/>
        <v>3</v>
      </c>
      <c r="W97" s="1">
        <f ca="1">V97+'Data Considered'!$B$14-'Data Considered'!$B$15</f>
        <v>3</v>
      </c>
      <c r="X97" s="1">
        <f t="shared" ca="1" si="23"/>
        <v>2070</v>
      </c>
      <c r="Y97" s="1">
        <f t="shared" ca="1" si="24"/>
        <v>5040</v>
      </c>
    </row>
    <row r="98" spans="1:25" x14ac:dyDescent="0.3">
      <c r="A98" s="1">
        <f t="shared" si="25"/>
        <v>97</v>
      </c>
      <c r="B98" s="1">
        <f ca="1">Retailer!H97</f>
        <v>13</v>
      </c>
      <c r="C98" s="1">
        <f ca="1">ROUNDUP(AVERAGE(Distributor!B96,Distributor!B97),0)</f>
        <v>11</v>
      </c>
      <c r="D98" s="1">
        <f t="shared" ca="1" si="27"/>
        <v>33</v>
      </c>
      <c r="E98" s="1">
        <f ca="1">Manufacturer!J97</f>
        <v>36</v>
      </c>
      <c r="F98" s="1">
        <f ca="1">IF(A98=1,'Data Considered'!$B$5,Distributor!L97+Distributor!E98)</f>
        <v>84</v>
      </c>
      <c r="G98" s="1">
        <f t="shared" ref="G98:G105" ca="1" si="29">F98+IF(A98&gt;1,H97,0)</f>
        <v>84</v>
      </c>
      <c r="H98" s="1">
        <f t="shared" ref="H98:H105" ca="1" si="30">IF(D98&gt;G98,D98-G98,0)</f>
        <v>0</v>
      </c>
      <c r="I98" s="1">
        <f t="shared" ca="1" si="20"/>
        <v>84</v>
      </c>
      <c r="J98" s="1">
        <f t="shared" ca="1" si="26"/>
        <v>13</v>
      </c>
      <c r="K98" s="1">
        <f t="shared" ref="K98:K105" ca="1" si="31">B98-J98</f>
        <v>0</v>
      </c>
      <c r="L98" s="1">
        <f t="shared" ca="1" si="28"/>
        <v>71</v>
      </c>
      <c r="M98" s="1">
        <f ca="1">J98*'Data Considered'!$B$9</f>
        <v>1820</v>
      </c>
      <c r="N98" s="1">
        <f ca="1">Retailer!P98</f>
        <v>5040</v>
      </c>
      <c r="O98" s="1">
        <f ca="1">E98*'Data Considered'!$B$10</f>
        <v>3600</v>
      </c>
      <c r="P98" s="1">
        <f ca="1">IF(A98&gt;'Data Considered'!$B$15,OFFSET(Distributor!O98,-'Data Considered'!$B$15,0),0)</f>
        <v>800</v>
      </c>
      <c r="Q98" s="1">
        <f t="shared" ca="1" si="21"/>
        <v>3439</v>
      </c>
      <c r="R98" s="1">
        <f ca="1">IF(A98=1,'Data Considered'!$B$17,Distributor!R97+Distributor!Q98)</f>
        <v>60429</v>
      </c>
      <c r="S98" s="1">
        <f ca="1">J98*'Data Considered'!$D$9</f>
        <v>91</v>
      </c>
      <c r="T98" s="1">
        <f ca="1">L98*'Data Considered'!$B$21</f>
        <v>710</v>
      </c>
      <c r="U98" s="1">
        <f ca="1">K98*'Data Considered'!$B$25</f>
        <v>0</v>
      </c>
      <c r="V98" s="1">
        <f t="shared" ca="1" si="22"/>
        <v>4</v>
      </c>
      <c r="W98" s="1">
        <f ca="1">V98+'Data Considered'!$B$14-'Data Considered'!$B$15</f>
        <v>4</v>
      </c>
      <c r="X98" s="1">
        <f t="shared" ca="1" si="23"/>
        <v>891</v>
      </c>
      <c r="Y98" s="1">
        <f t="shared" ca="1" si="24"/>
        <v>1540</v>
      </c>
    </row>
    <row r="99" spans="1:25" x14ac:dyDescent="0.3">
      <c r="A99" s="1">
        <f t="shared" si="25"/>
        <v>98</v>
      </c>
      <c r="B99" s="1">
        <f ca="1">Retailer!H98</f>
        <v>13</v>
      </c>
      <c r="C99" s="1">
        <f ca="1">ROUNDUP(AVERAGE(Distributor!B97,Distributor!B98),0)</f>
        <v>12</v>
      </c>
      <c r="D99" s="1">
        <f t="shared" ca="1" si="27"/>
        <v>36</v>
      </c>
      <c r="E99" s="1">
        <f ca="1">Manufacturer!J98</f>
        <v>0</v>
      </c>
      <c r="F99" s="1">
        <f ca="1">IF(A99=1,'Data Considered'!$B$5,Distributor!L98+Distributor!E99)</f>
        <v>71</v>
      </c>
      <c r="G99" s="1">
        <f t="shared" ca="1" si="29"/>
        <v>71</v>
      </c>
      <c r="H99" s="1">
        <f t="shared" ca="1" si="30"/>
        <v>0</v>
      </c>
      <c r="I99" s="1">
        <f t="shared" ca="1" si="20"/>
        <v>71</v>
      </c>
      <c r="J99" s="1">
        <f t="shared" ca="1" si="26"/>
        <v>13</v>
      </c>
      <c r="K99" s="1">
        <f t="shared" ca="1" si="31"/>
        <v>0</v>
      </c>
      <c r="L99" s="1">
        <f t="shared" ca="1" si="28"/>
        <v>58</v>
      </c>
      <c r="M99" s="1">
        <f ca="1">J99*'Data Considered'!$B$9</f>
        <v>1820</v>
      </c>
      <c r="N99" s="1">
        <f ca="1">Retailer!P99</f>
        <v>1540</v>
      </c>
      <c r="O99" s="1">
        <f ca="1">E99*'Data Considered'!$B$10</f>
        <v>0</v>
      </c>
      <c r="P99" s="1">
        <f ca="1">IF(A99&gt;'Data Considered'!$B$15,OFFSET(Distributor!O99,-'Data Considered'!$B$15,0),0)</f>
        <v>4600</v>
      </c>
      <c r="Q99" s="1">
        <f t="shared" ca="1" si="21"/>
        <v>-3731</v>
      </c>
      <c r="R99" s="1">
        <f ca="1">IF(A99=1,'Data Considered'!$B$17,Distributor!R98+Distributor!Q99)</f>
        <v>56698</v>
      </c>
      <c r="S99" s="1">
        <f ca="1">J99*'Data Considered'!$D$9</f>
        <v>91</v>
      </c>
      <c r="T99" s="1">
        <f ca="1">L99*'Data Considered'!$B$21</f>
        <v>580</v>
      </c>
      <c r="U99" s="1">
        <f ca="1">K99*'Data Considered'!$B$25</f>
        <v>0</v>
      </c>
      <c r="V99" s="1">
        <f t="shared" ca="1" si="22"/>
        <v>4</v>
      </c>
      <c r="W99" s="1">
        <f ca="1">V99+'Data Considered'!$B$14-'Data Considered'!$B$15</f>
        <v>4</v>
      </c>
      <c r="X99" s="1">
        <f t="shared" ca="1" si="23"/>
        <v>4691</v>
      </c>
      <c r="Y99" s="1">
        <f t="shared" ca="1" si="24"/>
        <v>1400</v>
      </c>
    </row>
    <row r="100" spans="1:25" x14ac:dyDescent="0.3">
      <c r="A100" s="1">
        <f t="shared" si="25"/>
        <v>99</v>
      </c>
      <c r="B100" s="1">
        <f ca="1">Retailer!H99</f>
        <v>34</v>
      </c>
      <c r="C100" s="1">
        <f ca="1">ROUNDUP(AVERAGE(Distributor!B98,Distributor!B99),0)</f>
        <v>13</v>
      </c>
      <c r="D100" s="1">
        <f t="shared" ca="1" si="27"/>
        <v>39</v>
      </c>
      <c r="E100" s="1">
        <f ca="1">Manufacturer!J99</f>
        <v>0</v>
      </c>
      <c r="F100" s="1">
        <f ca="1">IF(A100=1,'Data Considered'!$B$5,Distributor!L99+Distributor!E100)</f>
        <v>58</v>
      </c>
      <c r="G100" s="1">
        <f t="shared" ca="1" si="29"/>
        <v>58</v>
      </c>
      <c r="H100" s="1">
        <f t="shared" ca="1" si="30"/>
        <v>0</v>
      </c>
      <c r="I100" s="1">
        <f t="shared" ca="1" si="20"/>
        <v>58</v>
      </c>
      <c r="J100" s="1">
        <f t="shared" ca="1" si="26"/>
        <v>34</v>
      </c>
      <c r="K100" s="1">
        <f t="shared" ca="1" si="31"/>
        <v>0</v>
      </c>
      <c r="L100" s="1">
        <f t="shared" ca="1" si="28"/>
        <v>24</v>
      </c>
      <c r="M100" s="1">
        <f ca="1">J100*'Data Considered'!$B$9</f>
        <v>4760</v>
      </c>
      <c r="N100" s="1">
        <f ca="1">Retailer!P100</f>
        <v>1400</v>
      </c>
      <c r="O100" s="1">
        <f ca="1">E100*'Data Considered'!$B$10</f>
        <v>0</v>
      </c>
      <c r="P100" s="1">
        <f ca="1">IF(A100&gt;'Data Considered'!$B$15,OFFSET(Distributor!O100,-'Data Considered'!$B$15,0),0)</f>
        <v>3600</v>
      </c>
      <c r="Q100" s="1">
        <f t="shared" ca="1" si="21"/>
        <v>-2678</v>
      </c>
      <c r="R100" s="1">
        <f ca="1">IF(A100=1,'Data Considered'!$B$17,Distributor!R99+Distributor!Q100)</f>
        <v>54020</v>
      </c>
      <c r="S100" s="1">
        <f ca="1">J100*'Data Considered'!$D$9</f>
        <v>238</v>
      </c>
      <c r="T100" s="1">
        <f ca="1">L100*'Data Considered'!$B$21</f>
        <v>240</v>
      </c>
      <c r="U100" s="1">
        <f ca="1">K100*'Data Considered'!$B$25</f>
        <v>0</v>
      </c>
      <c r="V100" s="1">
        <f t="shared" ca="1" si="22"/>
        <v>2</v>
      </c>
      <c r="W100" s="1">
        <f ca="1">V100+'Data Considered'!$B$14-'Data Considered'!$B$15</f>
        <v>2</v>
      </c>
      <c r="X100" s="1">
        <f t="shared" ca="1" si="23"/>
        <v>3838</v>
      </c>
      <c r="Y100" s="1">
        <f t="shared" ca="1" si="24"/>
        <v>1820</v>
      </c>
    </row>
    <row r="101" spans="1:25" x14ac:dyDescent="0.3">
      <c r="A101" s="1">
        <f t="shared" si="25"/>
        <v>100</v>
      </c>
      <c r="B101" s="1">
        <f ca="1">Retailer!H100</f>
        <v>22</v>
      </c>
      <c r="C101" s="1">
        <f ca="1">ROUNDUP(AVERAGE(Distributor!B99,Distributor!B100),0)</f>
        <v>24</v>
      </c>
      <c r="D101" s="1">
        <f t="shared" ca="1" si="27"/>
        <v>72</v>
      </c>
      <c r="E101" s="1">
        <f ca="1">Manufacturer!J100</f>
        <v>0</v>
      </c>
      <c r="F101" s="1">
        <f ca="1">IF(A101=1,'Data Considered'!$B$5,Distributor!L100+Distributor!E101)</f>
        <v>24</v>
      </c>
      <c r="G101" s="1">
        <f t="shared" ca="1" si="29"/>
        <v>24</v>
      </c>
      <c r="H101" s="1">
        <f t="shared" ca="1" si="30"/>
        <v>48</v>
      </c>
      <c r="I101" s="1">
        <f t="shared" ca="1" si="20"/>
        <v>24</v>
      </c>
      <c r="J101" s="1">
        <f t="shared" ca="1" si="26"/>
        <v>22</v>
      </c>
      <c r="K101" s="1">
        <f t="shared" ca="1" si="31"/>
        <v>0</v>
      </c>
      <c r="L101" s="1">
        <f t="shared" ca="1" si="28"/>
        <v>2</v>
      </c>
      <c r="M101" s="1">
        <f ca="1">J101*'Data Considered'!$B$9</f>
        <v>3080</v>
      </c>
      <c r="N101" s="1">
        <f ca="1">Retailer!P101</f>
        <v>1820</v>
      </c>
      <c r="O101" s="1">
        <f ca="1">E101*'Data Considered'!$B$10</f>
        <v>0</v>
      </c>
      <c r="P101" s="1">
        <f ca="1">IF(A101&gt;'Data Considered'!$B$15,OFFSET(Distributor!O101,-'Data Considered'!$B$15,0),0)</f>
        <v>0</v>
      </c>
      <c r="Q101" s="1">
        <f t="shared" ca="1" si="21"/>
        <v>1646</v>
      </c>
      <c r="R101" s="1">
        <f ca="1">IF(A101=1,'Data Considered'!$B$17,Distributor!R100+Distributor!Q101)</f>
        <v>55666</v>
      </c>
      <c r="S101" s="1">
        <f ca="1">J101*'Data Considered'!$D$9</f>
        <v>154</v>
      </c>
      <c r="T101" s="1">
        <f ca="1">L101*'Data Considered'!$B$21</f>
        <v>20</v>
      </c>
      <c r="U101" s="1">
        <f ca="1">K101*'Data Considered'!$B$25</f>
        <v>0</v>
      </c>
      <c r="V101" s="1">
        <f t="shared" ca="1" si="22"/>
        <v>1</v>
      </c>
      <c r="W101" s="1">
        <f ca="1">V101+'Data Considered'!$B$14-'Data Considered'!$B$15</f>
        <v>1</v>
      </c>
      <c r="X101" s="1">
        <f t="shared" ca="1" si="23"/>
        <v>154</v>
      </c>
      <c r="Y101" s="1">
        <f t="shared" ca="1" si="24"/>
        <v>1820</v>
      </c>
    </row>
    <row r="102" spans="1:25" x14ac:dyDescent="0.3">
      <c r="A102" s="1">
        <f t="shared" si="25"/>
        <v>101</v>
      </c>
      <c r="B102" s="1">
        <f ca="1">Retailer!H101</f>
        <v>16</v>
      </c>
      <c r="C102" s="1">
        <f ca="1">ROUNDUP(AVERAGE(Distributor!B100,Distributor!B101),0)</f>
        <v>28</v>
      </c>
      <c r="D102" s="1">
        <f t="shared" ca="1" si="27"/>
        <v>84</v>
      </c>
      <c r="E102" s="1">
        <f ca="1">Manufacturer!J101</f>
        <v>0</v>
      </c>
      <c r="F102" s="1">
        <f ca="1">IF(A102=1,'Data Considered'!$B$5,Distributor!L101+Distributor!E102)</f>
        <v>2</v>
      </c>
      <c r="G102" s="1">
        <f t="shared" ca="1" si="29"/>
        <v>50</v>
      </c>
      <c r="H102" s="1">
        <f t="shared" ca="1" si="30"/>
        <v>34</v>
      </c>
      <c r="I102" s="1">
        <f t="shared" ca="1" si="20"/>
        <v>2</v>
      </c>
      <c r="J102" s="1">
        <f t="shared" ca="1" si="26"/>
        <v>2</v>
      </c>
      <c r="K102" s="1">
        <f t="shared" ca="1" si="31"/>
        <v>14</v>
      </c>
      <c r="L102" s="1">
        <f t="shared" ca="1" si="28"/>
        <v>0</v>
      </c>
      <c r="M102" s="1">
        <f ca="1">J102*'Data Considered'!$B$9</f>
        <v>280</v>
      </c>
      <c r="N102" s="1">
        <f ca="1">Retailer!P102</f>
        <v>1820</v>
      </c>
      <c r="O102" s="1">
        <f ca="1">E102*'Data Considered'!$B$10</f>
        <v>0</v>
      </c>
      <c r="P102" s="1">
        <f ca="1">IF(A102&gt;'Data Considered'!$B$15,OFFSET(Distributor!O102,-'Data Considered'!$B$15,0),0)</f>
        <v>0</v>
      </c>
      <c r="Q102" s="1">
        <f t="shared" ca="1" si="21"/>
        <v>1806</v>
      </c>
      <c r="R102" s="1">
        <f ca="1">IF(A102=1,'Data Considered'!$B$17,Distributor!R101+Distributor!Q102)</f>
        <v>57472</v>
      </c>
      <c r="S102" s="1">
        <f ca="1">J102*'Data Considered'!$D$9</f>
        <v>14</v>
      </c>
      <c r="T102" s="1">
        <f ca="1">L102*'Data Considered'!$B$21</f>
        <v>0</v>
      </c>
      <c r="U102" s="1">
        <f ca="1">K102*'Data Considered'!$B$25</f>
        <v>420</v>
      </c>
      <c r="V102" s="1">
        <f t="shared" ca="1" si="22"/>
        <v>0</v>
      </c>
      <c r="W102" s="1">
        <f ca="1">V102+'Data Considered'!$B$14-'Data Considered'!$B$15</f>
        <v>0</v>
      </c>
      <c r="X102" s="1">
        <f t="shared" ca="1" si="23"/>
        <v>14</v>
      </c>
      <c r="Y102" s="1">
        <f t="shared" ca="1" si="24"/>
        <v>4760</v>
      </c>
    </row>
    <row r="103" spans="1:25" x14ac:dyDescent="0.3">
      <c r="A103" s="1">
        <f t="shared" si="25"/>
        <v>102</v>
      </c>
      <c r="B103" s="1">
        <f ca="1">Retailer!H102</f>
        <v>6</v>
      </c>
      <c r="C103" s="1">
        <f ca="1">ROUNDUP(AVERAGE(Distributor!B101,Distributor!B102),0)</f>
        <v>19</v>
      </c>
      <c r="D103" s="1">
        <f t="shared" ca="1" si="27"/>
        <v>57</v>
      </c>
      <c r="E103" s="1">
        <f ca="1">Manufacturer!J102</f>
        <v>48</v>
      </c>
      <c r="F103" s="1">
        <f ca="1">IF(A103=1,'Data Considered'!$B$5,Distributor!L102+Distributor!E103)</f>
        <v>48</v>
      </c>
      <c r="G103" s="1">
        <f t="shared" ca="1" si="29"/>
        <v>82</v>
      </c>
      <c r="H103" s="1">
        <f t="shared" ca="1" si="30"/>
        <v>0</v>
      </c>
      <c r="I103" s="1">
        <f t="shared" ca="1" si="20"/>
        <v>48</v>
      </c>
      <c r="J103" s="1">
        <f t="shared" ca="1" si="26"/>
        <v>6</v>
      </c>
      <c r="K103" s="1">
        <f t="shared" ca="1" si="31"/>
        <v>0</v>
      </c>
      <c r="L103" s="1">
        <f t="shared" ca="1" si="28"/>
        <v>42</v>
      </c>
      <c r="M103" s="1">
        <f ca="1">J103*'Data Considered'!$B$9</f>
        <v>840</v>
      </c>
      <c r="N103" s="1">
        <f ca="1">Retailer!P103</f>
        <v>4760</v>
      </c>
      <c r="O103" s="1">
        <f ca="1">E103*'Data Considered'!$B$10</f>
        <v>4800</v>
      </c>
      <c r="P103" s="1">
        <f ca="1">IF(A103&gt;'Data Considered'!$B$15,OFFSET(Distributor!O103,-'Data Considered'!$B$15,0),0)</f>
        <v>0</v>
      </c>
      <c r="Q103" s="1">
        <f t="shared" ca="1" si="21"/>
        <v>4298</v>
      </c>
      <c r="R103" s="1">
        <f ca="1">IF(A103=1,'Data Considered'!$B$17,Distributor!R102+Distributor!Q103)</f>
        <v>61770</v>
      </c>
      <c r="S103" s="1">
        <f ca="1">J103*'Data Considered'!$D$9</f>
        <v>42</v>
      </c>
      <c r="T103" s="1">
        <f ca="1">L103*'Data Considered'!$B$21</f>
        <v>420</v>
      </c>
      <c r="U103" s="1">
        <f ca="1">K103*'Data Considered'!$B$25</f>
        <v>0</v>
      </c>
      <c r="V103" s="1">
        <f t="shared" ca="1" si="22"/>
        <v>3</v>
      </c>
      <c r="W103" s="1">
        <f ca="1">V103+'Data Considered'!$B$14-'Data Considered'!$B$15</f>
        <v>3</v>
      </c>
      <c r="X103" s="1">
        <f t="shared" ca="1" si="23"/>
        <v>42</v>
      </c>
      <c r="Y103" s="1">
        <f t="shared" ca="1" si="24"/>
        <v>3080</v>
      </c>
    </row>
    <row r="104" spans="1:25" x14ac:dyDescent="0.3">
      <c r="A104" s="1">
        <f t="shared" si="25"/>
        <v>103</v>
      </c>
      <c r="B104" s="1">
        <f ca="1">Retailer!H103</f>
        <v>16</v>
      </c>
      <c r="C104" s="1">
        <f ca="1">ROUNDUP(AVERAGE(Distributor!B102,Distributor!B103),0)</f>
        <v>11</v>
      </c>
      <c r="D104" s="1">
        <f t="shared" ca="1" si="27"/>
        <v>33</v>
      </c>
      <c r="E104" s="1">
        <f ca="1">Manufacturer!J103</f>
        <v>34</v>
      </c>
      <c r="F104" s="1">
        <f ca="1">IF(A104=1,'Data Considered'!$B$5,Distributor!L103+Distributor!E104)</f>
        <v>76</v>
      </c>
      <c r="G104" s="1">
        <f t="shared" ca="1" si="29"/>
        <v>76</v>
      </c>
      <c r="H104" s="1">
        <f t="shared" ca="1" si="30"/>
        <v>0</v>
      </c>
      <c r="I104" s="1">
        <f t="shared" ca="1" si="20"/>
        <v>76</v>
      </c>
      <c r="J104" s="1">
        <f t="shared" ca="1" si="26"/>
        <v>16</v>
      </c>
      <c r="K104" s="1">
        <f t="shared" ca="1" si="31"/>
        <v>0</v>
      </c>
      <c r="L104" s="1">
        <f t="shared" ca="1" si="28"/>
        <v>60</v>
      </c>
      <c r="M104" s="1">
        <f ca="1">J104*'Data Considered'!$B$9</f>
        <v>2240</v>
      </c>
      <c r="N104" s="1">
        <f ca="1">Retailer!P104</f>
        <v>3080</v>
      </c>
      <c r="O104" s="1">
        <f ca="1">E104*'Data Considered'!$B$10</f>
        <v>3400</v>
      </c>
      <c r="P104" s="1">
        <f ca="1">IF(A104&gt;'Data Considered'!$B$15,OFFSET(Distributor!O104,-'Data Considered'!$B$15,0),0)</f>
        <v>0</v>
      </c>
      <c r="Q104" s="1">
        <f t="shared" ca="1" si="21"/>
        <v>2368</v>
      </c>
      <c r="R104" s="1">
        <f ca="1">IF(A104=1,'Data Considered'!$B$17,Distributor!R103+Distributor!Q104)</f>
        <v>64138</v>
      </c>
      <c r="S104" s="1">
        <f ca="1">J104*'Data Considered'!$D$9</f>
        <v>112</v>
      </c>
      <c r="T104" s="1">
        <f ca="1">L104*'Data Considered'!$B$21</f>
        <v>600</v>
      </c>
      <c r="U104" s="1">
        <f ca="1">K104*'Data Considered'!$B$25</f>
        <v>0</v>
      </c>
      <c r="V104" s="1">
        <f t="shared" ca="1" si="22"/>
        <v>4</v>
      </c>
      <c r="W104" s="1">
        <f ca="1">V104+'Data Considered'!$B$14-'Data Considered'!$B$15</f>
        <v>4</v>
      </c>
      <c r="X104" s="1">
        <f t="shared" ca="1" si="23"/>
        <v>112</v>
      </c>
      <c r="Y104" s="1">
        <f t="shared" ca="1" si="24"/>
        <v>280</v>
      </c>
    </row>
    <row r="105" spans="1:25" x14ac:dyDescent="0.3">
      <c r="A105" s="1">
        <f t="shared" si="25"/>
        <v>104</v>
      </c>
      <c r="B105" s="1">
        <f ca="1">Retailer!H104</f>
        <v>53</v>
      </c>
      <c r="C105" s="1">
        <f ca="1">ROUNDUP(AVERAGE(Distributor!B103,Distributor!B104),0)</f>
        <v>11</v>
      </c>
      <c r="D105" s="1">
        <f t="shared" ca="1" si="27"/>
        <v>33</v>
      </c>
      <c r="E105" s="1">
        <f ca="1">Manufacturer!J104</f>
        <v>0</v>
      </c>
      <c r="F105" s="1">
        <f ca="1">IF(A105=1,'Data Considered'!$B$5,Distributor!L104+Distributor!E105)</f>
        <v>60</v>
      </c>
      <c r="G105" s="1">
        <f t="shared" ca="1" si="29"/>
        <v>60</v>
      </c>
      <c r="H105" s="1">
        <f t="shared" ca="1" si="30"/>
        <v>0</v>
      </c>
      <c r="I105" s="1">
        <f t="shared" ca="1" si="20"/>
        <v>60</v>
      </c>
      <c r="J105" s="1">
        <f t="shared" ca="1" si="26"/>
        <v>53</v>
      </c>
      <c r="K105" s="1">
        <f t="shared" ca="1" si="31"/>
        <v>0</v>
      </c>
      <c r="L105" s="1">
        <f t="shared" ca="1" si="28"/>
        <v>7</v>
      </c>
      <c r="M105" s="1">
        <f ca="1">J105*'Data Considered'!$B$9</f>
        <v>7420</v>
      </c>
      <c r="N105" s="1">
        <f ca="1">Retailer!P105</f>
        <v>280</v>
      </c>
      <c r="O105" s="1">
        <f ca="1">E105*'Data Considered'!$B$10</f>
        <v>0</v>
      </c>
      <c r="P105" s="1">
        <f ca="1">IF(A105&gt;'Data Considered'!$B$15,OFFSET(Distributor!O105,-'Data Considered'!$B$15,0),0)</f>
        <v>4800</v>
      </c>
      <c r="Q105" s="1">
        <f t="shared" ca="1" si="21"/>
        <v>-4961</v>
      </c>
      <c r="R105" s="1">
        <f ca="1">IF(A105=1,'Data Considered'!$B$17,Distributor!R104+Distributor!Q105)</f>
        <v>59177</v>
      </c>
      <c r="S105" s="1">
        <f ca="1">J105*'Data Considered'!$D$9</f>
        <v>371</v>
      </c>
      <c r="T105" s="1">
        <f ca="1">L105*'Data Considered'!$B$21</f>
        <v>70</v>
      </c>
      <c r="U105" s="1">
        <f ca="1">K105*'Data Considered'!$B$25</f>
        <v>0</v>
      </c>
      <c r="V105" s="1">
        <f t="shared" ca="1" si="22"/>
        <v>1</v>
      </c>
      <c r="W105" s="1">
        <f ca="1">V105+'Data Considered'!$B$14-'Data Considered'!$B$15</f>
        <v>1</v>
      </c>
      <c r="X105" s="1">
        <f t="shared" ca="1" si="23"/>
        <v>5171</v>
      </c>
      <c r="Y105" s="1">
        <f t="shared" ca="1" si="24"/>
        <v>840</v>
      </c>
    </row>
    <row r="107" spans="1:25" x14ac:dyDescent="0.3">
      <c r="B107" s="50" t="s">
        <v>44</v>
      </c>
    </row>
    <row r="108" spans="1:25" x14ac:dyDescent="0.3">
      <c r="B108" s="1">
        <f ca="1">AVERAGE(B2:B105)</f>
        <v>18.778846153846153</v>
      </c>
    </row>
    <row r="110" spans="1:25" x14ac:dyDescent="0.3">
      <c r="B110" s="50" t="s">
        <v>61</v>
      </c>
      <c r="H110" s="50" t="s">
        <v>63</v>
      </c>
    </row>
    <row r="111" spans="1:25" x14ac:dyDescent="0.3">
      <c r="B111" s="1">
        <f ca="1">_xlfn.VAR.S(B2:B105)</f>
        <v>167.35838312173263</v>
      </c>
      <c r="H111" s="1">
        <f ca="1">_xlfn.VAR.S(H2:H105)</f>
        <v>615.25980209111276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471F-CA09-41ED-9955-6FAB2891BF18}">
  <dimension ref="A1:X111"/>
  <sheetViews>
    <sheetView zoomScaleNormal="100" workbookViewId="0"/>
  </sheetViews>
  <sheetFormatPr defaultRowHeight="14.4" x14ac:dyDescent="0.3"/>
  <cols>
    <col min="1" max="1" width="9.44140625" customWidth="1"/>
    <col min="2" max="2" width="12.6640625" customWidth="1"/>
    <col min="3" max="3" width="10.77734375" customWidth="1"/>
    <col min="4" max="4" width="6.6640625" customWidth="1"/>
    <col min="5" max="5" width="12" customWidth="1"/>
    <col min="6" max="6" width="12.6640625" customWidth="1"/>
    <col min="7" max="7" width="13.109375" customWidth="1"/>
    <col min="8" max="8" width="13.5546875" customWidth="1"/>
    <col min="9" max="9" width="11.44140625" customWidth="1"/>
    <col min="10" max="10" width="13.44140625" customWidth="1"/>
    <col min="12" max="12" width="11.88671875" customWidth="1"/>
    <col min="13" max="13" width="12.6640625" customWidth="1"/>
    <col min="14" max="14" width="11.6640625" customWidth="1"/>
    <col min="15" max="15" width="19" customWidth="1"/>
    <col min="17" max="18" width="10.109375" customWidth="1"/>
    <col min="19" max="19" width="9.6640625" customWidth="1"/>
    <col min="20" max="20" width="10.33203125" customWidth="1"/>
    <col min="21" max="21" width="12.109375" style="1" customWidth="1"/>
    <col min="22" max="22" width="12.21875" style="1" customWidth="1"/>
    <col min="23" max="23" width="10.6640625" style="1" customWidth="1"/>
    <col min="24" max="24" width="11.21875" style="1" customWidth="1"/>
  </cols>
  <sheetData>
    <row r="1" spans="1:24" s="55" customFormat="1" ht="58.2" customHeight="1" x14ac:dyDescent="0.3">
      <c r="A1" s="55" t="s">
        <v>4</v>
      </c>
      <c r="B1" s="55" t="s">
        <v>29</v>
      </c>
      <c r="C1" s="55" t="s">
        <v>6</v>
      </c>
      <c r="D1" s="55" t="s">
        <v>7</v>
      </c>
      <c r="E1" s="55" t="s">
        <v>30</v>
      </c>
      <c r="F1" s="55" t="s">
        <v>9</v>
      </c>
      <c r="G1" s="55" t="s">
        <v>10</v>
      </c>
      <c r="H1" s="55" t="s">
        <v>31</v>
      </c>
      <c r="I1" s="55" t="s">
        <v>12</v>
      </c>
      <c r="J1" s="55" t="s">
        <v>32</v>
      </c>
      <c r="K1" s="55" t="s">
        <v>14</v>
      </c>
      <c r="L1" s="55" t="s">
        <v>15</v>
      </c>
      <c r="M1" s="55" t="s">
        <v>33</v>
      </c>
      <c r="N1" s="55" t="s">
        <v>17</v>
      </c>
      <c r="O1" s="55" t="s">
        <v>64</v>
      </c>
      <c r="P1" s="55" t="s">
        <v>20</v>
      </c>
      <c r="Q1" s="55" t="s">
        <v>21</v>
      </c>
      <c r="R1" s="55" t="s">
        <v>95</v>
      </c>
      <c r="S1" s="55" t="s">
        <v>22</v>
      </c>
      <c r="T1" s="55" t="s">
        <v>23</v>
      </c>
      <c r="U1" s="55" t="s">
        <v>39</v>
      </c>
      <c r="V1" s="55" t="s">
        <v>40</v>
      </c>
      <c r="W1" s="55" t="s">
        <v>41</v>
      </c>
      <c r="X1" s="55" t="s">
        <v>42</v>
      </c>
    </row>
    <row r="2" spans="1:24" x14ac:dyDescent="0.3">
      <c r="A2" s="1">
        <v>1</v>
      </c>
      <c r="B2" s="1">
        <f>0</f>
        <v>0</v>
      </c>
      <c r="C2" s="1">
        <v>20</v>
      </c>
      <c r="D2" s="1">
        <f>3*C2</f>
        <v>60</v>
      </c>
      <c r="E2" s="1">
        <f ca="1">IF(A2&gt;2,OFFSET(H2,-2,0),0)</f>
        <v>0</v>
      </c>
      <c r="F2" s="1">
        <f>IF(A2=1,'Data Considered'!$B$5,L1+E2)</f>
        <v>80</v>
      </c>
      <c r="G2" s="1">
        <f>F2+IF(A2&gt;1,H1,0)</f>
        <v>80</v>
      </c>
      <c r="H2" s="1">
        <f>IF(D2&gt;G2,D2-G2,0)</f>
        <v>0</v>
      </c>
      <c r="I2" s="1">
        <f>F2</f>
        <v>80</v>
      </c>
      <c r="J2" s="1">
        <f>MIN(B2,I2)</f>
        <v>0</v>
      </c>
      <c r="K2" s="1">
        <f>B2-J2</f>
        <v>0</v>
      </c>
      <c r="L2" s="1">
        <f>I2-J2</f>
        <v>80</v>
      </c>
      <c r="M2" s="1">
        <f>J2*'Data Considered'!$B$11</f>
        <v>0</v>
      </c>
      <c r="N2" s="1">
        <f ca="1">Distributor!P2</f>
        <v>0</v>
      </c>
      <c r="O2" s="1">
        <f>H2*'Data Considered'!$B$12</f>
        <v>0</v>
      </c>
      <c r="P2" s="1">
        <f ca="1">N2-O2-S2-R2</f>
        <v>-400</v>
      </c>
      <c r="Q2" s="1">
        <f>IF(A2=1,'Data Considered'!$B$18,Manufacturer!Q1+Manufacturer!P2)</f>
        <v>50000</v>
      </c>
      <c r="R2" s="1">
        <f>J2*'Data Considered'!$D$11</f>
        <v>0</v>
      </c>
      <c r="S2" s="1">
        <f>L2*'Data Considered'!$B$22</f>
        <v>400</v>
      </c>
      <c r="T2" s="1">
        <f>K2*'Data Considered'!$B$26</f>
        <v>0</v>
      </c>
      <c r="U2" s="1">
        <f ca="1">ROUNDUP(L2/$B$108,0)</f>
        <v>5</v>
      </c>
      <c r="V2" s="1">
        <f ca="1">U2+'Data Considered'!$B$15-0</f>
        <v>7</v>
      </c>
      <c r="W2" s="1">
        <f>O2+R2</f>
        <v>0</v>
      </c>
      <c r="X2" s="1">
        <f ca="1">IF(A2&gt;2,OFFSET(M2,-2,0),0)</f>
        <v>0</v>
      </c>
    </row>
    <row r="3" spans="1:24" x14ac:dyDescent="0.3">
      <c r="A3" s="1">
        <f>A2+1</f>
        <v>2</v>
      </c>
      <c r="B3" s="1">
        <f>Distributor!H2</f>
        <v>0</v>
      </c>
      <c r="C3" s="1">
        <f>B2</f>
        <v>0</v>
      </c>
      <c r="D3" s="1">
        <f t="shared" ref="D3:D31" si="0">3*C3</f>
        <v>0</v>
      </c>
      <c r="E3" s="1">
        <f t="shared" ref="E3:E31" ca="1" si="1">IF(A3&gt;2,OFFSET(H3,-2,0),0)</f>
        <v>0</v>
      </c>
      <c r="F3" s="1">
        <f ca="1">IF(A3=1,'Data Considered'!$B$5,L2+E3)</f>
        <v>80</v>
      </c>
      <c r="G3" s="1">
        <f t="shared" ref="G3:G31" ca="1" si="2">F3+IF(A3&gt;1,H2,0)</f>
        <v>80</v>
      </c>
      <c r="H3" s="1">
        <f t="shared" ref="H3:H31" ca="1" si="3">IF(D3&gt;G3,D3-G3,0)</f>
        <v>0</v>
      </c>
      <c r="I3" s="1">
        <f t="shared" ref="I3:I66" ca="1" si="4">F3</f>
        <v>80</v>
      </c>
      <c r="J3" s="1">
        <f ca="1">MIN(B3,I3)</f>
        <v>0</v>
      </c>
      <c r="K3" s="1">
        <f t="shared" ref="K3:K31" ca="1" si="5">B3-J3</f>
        <v>0</v>
      </c>
      <c r="L3" s="1">
        <f t="shared" ref="L3:L31" ca="1" si="6">I3-J3</f>
        <v>80</v>
      </c>
      <c r="M3" s="1">
        <f ca="1">J3*'Data Considered'!$B$11</f>
        <v>0</v>
      </c>
      <c r="N3" s="1">
        <f ca="1">Distributor!P3</f>
        <v>0</v>
      </c>
      <c r="O3" s="1">
        <f ca="1">H3*'Data Considered'!$B$12</f>
        <v>0</v>
      </c>
      <c r="P3" s="1">
        <f t="shared" ref="P3:P66" ca="1" si="7">N3-O3-S3-R3</f>
        <v>-400</v>
      </c>
      <c r="Q3" s="1">
        <f ca="1">IF(A3=1,'Data Considered'!$B$18,Manufacturer!Q2+Manufacturer!P3)</f>
        <v>49600</v>
      </c>
      <c r="R3" s="1">
        <f ca="1">J3*'Data Considered'!$D$11</f>
        <v>0</v>
      </c>
      <c r="S3" s="1">
        <f ca="1">L3*'Data Considered'!$B$22</f>
        <v>400</v>
      </c>
      <c r="T3" s="1">
        <f ca="1">K3*'Data Considered'!$B$26</f>
        <v>0</v>
      </c>
      <c r="U3" s="1">
        <f t="shared" ref="U3:U66" ca="1" si="8">ROUNDUP(L3/$B$108,0)</f>
        <v>5</v>
      </c>
      <c r="V3" s="1">
        <f ca="1">U3+'Data Considered'!$B$15-0</f>
        <v>7</v>
      </c>
      <c r="W3" s="1">
        <f t="shared" ref="W3:W66" ca="1" si="9">O3+R3</f>
        <v>0</v>
      </c>
      <c r="X3" s="1">
        <f t="shared" ref="X3:X66" ca="1" si="10">IF(A3&gt;2,OFFSET(M3,-2,0),0)</f>
        <v>0</v>
      </c>
    </row>
    <row r="4" spans="1:24" x14ac:dyDescent="0.3">
      <c r="A4" s="1">
        <f t="shared" ref="A4:A67" si="11">A3+1</f>
        <v>3</v>
      </c>
      <c r="B4" s="1">
        <f>Distributor!H3</f>
        <v>0</v>
      </c>
      <c r="C4" s="1">
        <f>ROUNDUP(AVERAGE(B2,B3),0)</f>
        <v>0</v>
      </c>
      <c r="D4" s="1">
        <f t="shared" si="0"/>
        <v>0</v>
      </c>
      <c r="E4" s="1">
        <f t="shared" ca="1" si="1"/>
        <v>0</v>
      </c>
      <c r="F4" s="1">
        <f ca="1">IF(A4=1,'Data Considered'!$B$5,L3+E4)</f>
        <v>80</v>
      </c>
      <c r="G4" s="1">
        <f t="shared" ca="1" si="2"/>
        <v>80</v>
      </c>
      <c r="H4" s="1">
        <f t="shared" ca="1" si="3"/>
        <v>0</v>
      </c>
      <c r="I4" s="1">
        <f t="shared" ca="1" si="4"/>
        <v>80</v>
      </c>
      <c r="J4" s="1">
        <f t="shared" ref="J4:J67" ca="1" si="12">MIN(B4,I4)</f>
        <v>0</v>
      </c>
      <c r="K4" s="1">
        <f t="shared" ca="1" si="5"/>
        <v>0</v>
      </c>
      <c r="L4" s="1">
        <f t="shared" ca="1" si="6"/>
        <v>80</v>
      </c>
      <c r="M4" s="1">
        <f ca="1">J4*'Data Considered'!$B$11</f>
        <v>0</v>
      </c>
      <c r="N4" s="1">
        <f ca="1">Distributor!P4</f>
        <v>0</v>
      </c>
      <c r="O4" s="1">
        <f ca="1">H4*'Data Considered'!$B$12</f>
        <v>0</v>
      </c>
      <c r="P4" s="1">
        <f t="shared" ca="1" si="7"/>
        <v>-400</v>
      </c>
      <c r="Q4" s="1">
        <f ca="1">IF(A4=1,'Data Considered'!$B$18,Manufacturer!Q3+Manufacturer!P4)</f>
        <v>49200</v>
      </c>
      <c r="R4" s="1">
        <f ca="1">J4*'Data Considered'!$D$11</f>
        <v>0</v>
      </c>
      <c r="S4" s="1">
        <f ca="1">L4*'Data Considered'!$B$22</f>
        <v>400</v>
      </c>
      <c r="T4" s="1">
        <f ca="1">K4*'Data Considered'!$B$26</f>
        <v>0</v>
      </c>
      <c r="U4" s="1">
        <f t="shared" ca="1" si="8"/>
        <v>5</v>
      </c>
      <c r="V4" s="1">
        <f ca="1">U4+'Data Considered'!$B$15-0</f>
        <v>7</v>
      </c>
      <c r="W4" s="1">
        <f t="shared" ca="1" si="9"/>
        <v>0</v>
      </c>
      <c r="X4" s="1">
        <f t="shared" ca="1" si="10"/>
        <v>0</v>
      </c>
    </row>
    <row r="5" spans="1:24" x14ac:dyDescent="0.3">
      <c r="A5" s="1">
        <f t="shared" si="11"/>
        <v>4</v>
      </c>
      <c r="B5" s="1">
        <f ca="1">Distributor!H4</f>
        <v>0</v>
      </c>
      <c r="C5" s="1">
        <f t="shared" ref="C5:C31" si="13">ROUNDUP(AVERAGE(B3,B4),0)</f>
        <v>0</v>
      </c>
      <c r="D5" s="1">
        <f t="shared" si="0"/>
        <v>0</v>
      </c>
      <c r="E5" s="1">
        <f t="shared" ca="1" si="1"/>
        <v>0</v>
      </c>
      <c r="F5" s="1">
        <f ca="1">IF(A5=1,'Data Considered'!$B$5,L4+E5)</f>
        <v>80</v>
      </c>
      <c r="G5" s="1">
        <f t="shared" ca="1" si="2"/>
        <v>80</v>
      </c>
      <c r="H5" s="1">
        <f t="shared" ca="1" si="3"/>
        <v>0</v>
      </c>
      <c r="I5" s="1">
        <f t="shared" ca="1" si="4"/>
        <v>80</v>
      </c>
      <c r="J5" s="1">
        <f t="shared" ca="1" si="12"/>
        <v>0</v>
      </c>
      <c r="K5" s="1">
        <f t="shared" ca="1" si="5"/>
        <v>0</v>
      </c>
      <c r="L5" s="1">
        <f t="shared" ca="1" si="6"/>
        <v>80</v>
      </c>
      <c r="M5" s="1">
        <f ca="1">J5*'Data Considered'!$B$11</f>
        <v>0</v>
      </c>
      <c r="N5" s="1">
        <f ca="1">Distributor!P5</f>
        <v>0</v>
      </c>
      <c r="O5" s="1">
        <f ca="1">H5*'Data Considered'!$B$12</f>
        <v>0</v>
      </c>
      <c r="P5" s="1">
        <f t="shared" ca="1" si="7"/>
        <v>-400</v>
      </c>
      <c r="Q5" s="1">
        <f ca="1">IF(A5=1,'Data Considered'!$B$18,Manufacturer!Q4+Manufacturer!P5)</f>
        <v>48800</v>
      </c>
      <c r="R5" s="1">
        <f ca="1">J5*'Data Considered'!$D$11</f>
        <v>0</v>
      </c>
      <c r="S5" s="1">
        <f ca="1">L5*'Data Considered'!$B$22</f>
        <v>400</v>
      </c>
      <c r="T5" s="1">
        <f ca="1">K5*'Data Considered'!$B$26</f>
        <v>0</v>
      </c>
      <c r="U5" s="1">
        <f t="shared" ca="1" si="8"/>
        <v>5</v>
      </c>
      <c r="V5" s="1">
        <f ca="1">U5+'Data Considered'!$B$15-0</f>
        <v>7</v>
      </c>
      <c r="W5" s="1">
        <f t="shared" ca="1" si="9"/>
        <v>0</v>
      </c>
      <c r="X5" s="1">
        <f t="shared" ca="1" si="10"/>
        <v>0</v>
      </c>
    </row>
    <row r="6" spans="1:24" x14ac:dyDescent="0.3">
      <c r="A6" s="1">
        <f t="shared" si="11"/>
        <v>5</v>
      </c>
      <c r="B6" s="1">
        <f ca="1">Distributor!H5</f>
        <v>0</v>
      </c>
      <c r="C6" s="1">
        <f t="shared" ca="1" si="13"/>
        <v>0</v>
      </c>
      <c r="D6" s="1">
        <f t="shared" ca="1" si="0"/>
        <v>0</v>
      </c>
      <c r="E6" s="1">
        <f t="shared" ca="1" si="1"/>
        <v>0</v>
      </c>
      <c r="F6" s="1">
        <f ca="1">IF(A6=1,'Data Considered'!$B$5,L5+E6)</f>
        <v>80</v>
      </c>
      <c r="G6" s="1">
        <f t="shared" ca="1" si="2"/>
        <v>80</v>
      </c>
      <c r="H6" s="1">
        <f t="shared" ca="1" si="3"/>
        <v>0</v>
      </c>
      <c r="I6" s="1">
        <f t="shared" ca="1" si="4"/>
        <v>80</v>
      </c>
      <c r="J6" s="1">
        <f t="shared" ca="1" si="12"/>
        <v>0</v>
      </c>
      <c r="K6" s="1">
        <f t="shared" ca="1" si="5"/>
        <v>0</v>
      </c>
      <c r="L6" s="1">
        <f t="shared" ca="1" si="6"/>
        <v>80</v>
      </c>
      <c r="M6" s="1">
        <f ca="1">J6*'Data Considered'!$B$11</f>
        <v>0</v>
      </c>
      <c r="N6" s="1">
        <f ca="1">Distributor!P6</f>
        <v>0</v>
      </c>
      <c r="O6" s="1">
        <f ca="1">H6*'Data Considered'!$B$12</f>
        <v>0</v>
      </c>
      <c r="P6" s="1">
        <f t="shared" ca="1" si="7"/>
        <v>-400</v>
      </c>
      <c r="Q6" s="1">
        <f ca="1">IF(A6=1,'Data Considered'!$B$18,Manufacturer!Q5+Manufacturer!P6)</f>
        <v>48400</v>
      </c>
      <c r="R6" s="1">
        <f ca="1">J6*'Data Considered'!$D$11</f>
        <v>0</v>
      </c>
      <c r="S6" s="1">
        <f ca="1">L6*'Data Considered'!$B$22</f>
        <v>400</v>
      </c>
      <c r="T6" s="1">
        <f ca="1">K6*'Data Considered'!$B$26</f>
        <v>0</v>
      </c>
      <c r="U6" s="1">
        <f t="shared" ca="1" si="8"/>
        <v>5</v>
      </c>
      <c r="V6" s="1">
        <f ca="1">U6+'Data Considered'!$B$15-0</f>
        <v>7</v>
      </c>
      <c r="W6" s="1">
        <f t="shared" ca="1" si="9"/>
        <v>0</v>
      </c>
      <c r="X6" s="1">
        <f t="shared" ca="1" si="10"/>
        <v>0</v>
      </c>
    </row>
    <row r="7" spans="1:24" x14ac:dyDescent="0.3">
      <c r="A7" s="1">
        <f t="shared" si="11"/>
        <v>6</v>
      </c>
      <c r="B7" s="1">
        <f ca="1">Distributor!H6</f>
        <v>30</v>
      </c>
      <c r="C7" s="1">
        <f t="shared" ca="1" si="13"/>
        <v>0</v>
      </c>
      <c r="D7" s="1">
        <f t="shared" ca="1" si="0"/>
        <v>0</v>
      </c>
      <c r="E7" s="1">
        <f t="shared" ca="1" si="1"/>
        <v>0</v>
      </c>
      <c r="F7" s="1">
        <f ca="1">IF(A7=1,'Data Considered'!$B$5,L6+E7)</f>
        <v>80</v>
      </c>
      <c r="G7" s="1">
        <f t="shared" ca="1" si="2"/>
        <v>80</v>
      </c>
      <c r="H7" s="1">
        <f t="shared" ca="1" si="3"/>
        <v>0</v>
      </c>
      <c r="I7" s="1">
        <f t="shared" ca="1" si="4"/>
        <v>80</v>
      </c>
      <c r="J7" s="1">
        <f t="shared" ca="1" si="12"/>
        <v>30</v>
      </c>
      <c r="K7" s="1">
        <f t="shared" ca="1" si="5"/>
        <v>0</v>
      </c>
      <c r="L7" s="1">
        <f t="shared" ca="1" si="6"/>
        <v>50</v>
      </c>
      <c r="M7" s="1">
        <f ca="1">J7*'Data Considered'!$B$11</f>
        <v>3000</v>
      </c>
      <c r="N7" s="1">
        <f ca="1">Distributor!P7</f>
        <v>0</v>
      </c>
      <c r="O7" s="1">
        <f ca="1">H7*'Data Considered'!$B$12</f>
        <v>0</v>
      </c>
      <c r="P7" s="1">
        <f t="shared" ca="1" si="7"/>
        <v>-400</v>
      </c>
      <c r="Q7" s="1">
        <f ca="1">IF(A7=1,'Data Considered'!$B$18,Manufacturer!Q6+Manufacturer!P7)</f>
        <v>48000</v>
      </c>
      <c r="R7" s="1">
        <f ca="1">J7*'Data Considered'!$D$11</f>
        <v>150</v>
      </c>
      <c r="S7" s="1">
        <f ca="1">L7*'Data Considered'!$B$22</f>
        <v>250</v>
      </c>
      <c r="T7" s="1">
        <f ca="1">K7*'Data Considered'!$B$26</f>
        <v>0</v>
      </c>
      <c r="U7" s="1">
        <f t="shared" ca="1" si="8"/>
        <v>4</v>
      </c>
      <c r="V7" s="1">
        <f ca="1">U7+'Data Considered'!$B$15-0</f>
        <v>6</v>
      </c>
      <c r="W7" s="1">
        <f t="shared" ca="1" si="9"/>
        <v>150</v>
      </c>
      <c r="X7" s="1">
        <f t="shared" ca="1" si="10"/>
        <v>0</v>
      </c>
    </row>
    <row r="8" spans="1:24" x14ac:dyDescent="0.3">
      <c r="A8" s="1">
        <f t="shared" si="11"/>
        <v>7</v>
      </c>
      <c r="B8" s="1">
        <f ca="1">Distributor!H7</f>
        <v>0</v>
      </c>
      <c r="C8" s="1">
        <f t="shared" ca="1" si="13"/>
        <v>15</v>
      </c>
      <c r="D8" s="1">
        <f t="shared" ca="1" si="0"/>
        <v>45</v>
      </c>
      <c r="E8" s="1">
        <f t="shared" ca="1" si="1"/>
        <v>0</v>
      </c>
      <c r="F8" s="1">
        <f ca="1">IF(A8=1,'Data Considered'!$B$5,L7+E8)</f>
        <v>50</v>
      </c>
      <c r="G8" s="1">
        <f t="shared" ca="1" si="2"/>
        <v>50</v>
      </c>
      <c r="H8" s="1">
        <f t="shared" ca="1" si="3"/>
        <v>0</v>
      </c>
      <c r="I8" s="1">
        <f t="shared" ca="1" si="4"/>
        <v>50</v>
      </c>
      <c r="J8" s="1">
        <f t="shared" ca="1" si="12"/>
        <v>0</v>
      </c>
      <c r="K8" s="1">
        <f t="shared" ca="1" si="5"/>
        <v>0</v>
      </c>
      <c r="L8" s="1">
        <f t="shared" ca="1" si="6"/>
        <v>50</v>
      </c>
      <c r="M8" s="1">
        <f ca="1">J8*'Data Considered'!$B$11</f>
        <v>0</v>
      </c>
      <c r="N8" s="1">
        <f ca="1">Distributor!P8</f>
        <v>0</v>
      </c>
      <c r="O8" s="1">
        <f ca="1">H8*'Data Considered'!$B$12</f>
        <v>0</v>
      </c>
      <c r="P8" s="1">
        <f t="shared" ca="1" si="7"/>
        <v>-250</v>
      </c>
      <c r="Q8" s="1">
        <f ca="1">IF(A8=1,'Data Considered'!$B$18,Manufacturer!Q7+Manufacturer!P8)</f>
        <v>47750</v>
      </c>
      <c r="R8" s="1">
        <f ca="1">J8*'Data Considered'!$D$11</f>
        <v>0</v>
      </c>
      <c r="S8" s="1">
        <f ca="1">L8*'Data Considered'!$B$22</f>
        <v>250</v>
      </c>
      <c r="T8" s="1">
        <f ca="1">K8*'Data Considered'!$B$26</f>
        <v>0</v>
      </c>
      <c r="U8" s="1">
        <f t="shared" ca="1" si="8"/>
        <v>4</v>
      </c>
      <c r="V8" s="1">
        <f ca="1">U8+'Data Considered'!$B$15-0</f>
        <v>6</v>
      </c>
      <c r="W8" s="1">
        <f t="shared" ca="1" si="9"/>
        <v>0</v>
      </c>
      <c r="X8" s="1">
        <f t="shared" ca="1" si="10"/>
        <v>0</v>
      </c>
    </row>
    <row r="9" spans="1:24" x14ac:dyDescent="0.3">
      <c r="A9" s="1">
        <f t="shared" si="11"/>
        <v>8</v>
      </c>
      <c r="B9" s="1">
        <f ca="1">Distributor!H8</f>
        <v>0</v>
      </c>
      <c r="C9" s="1">
        <f t="shared" ca="1" si="13"/>
        <v>15</v>
      </c>
      <c r="D9" s="1">
        <f t="shared" ca="1" si="0"/>
        <v>45</v>
      </c>
      <c r="E9" s="1">
        <f t="shared" ca="1" si="1"/>
        <v>0</v>
      </c>
      <c r="F9" s="1">
        <f ca="1">IF(A9=1,'Data Considered'!$B$5,L8+E9)</f>
        <v>50</v>
      </c>
      <c r="G9" s="1">
        <f t="shared" ca="1" si="2"/>
        <v>50</v>
      </c>
      <c r="H9" s="1">
        <f t="shared" ca="1" si="3"/>
        <v>0</v>
      </c>
      <c r="I9" s="1">
        <f t="shared" ca="1" si="4"/>
        <v>50</v>
      </c>
      <c r="J9" s="1">
        <f t="shared" ca="1" si="12"/>
        <v>0</v>
      </c>
      <c r="K9" s="1">
        <f t="shared" ca="1" si="5"/>
        <v>0</v>
      </c>
      <c r="L9" s="1">
        <f t="shared" ca="1" si="6"/>
        <v>50</v>
      </c>
      <c r="M9" s="1">
        <f ca="1">J9*'Data Considered'!$B$11</f>
        <v>0</v>
      </c>
      <c r="N9" s="1">
        <f ca="1">Distributor!P9</f>
        <v>0</v>
      </c>
      <c r="O9" s="1">
        <f ca="1">H9*'Data Considered'!$B$12</f>
        <v>0</v>
      </c>
      <c r="P9" s="1">
        <f t="shared" ca="1" si="7"/>
        <v>-250</v>
      </c>
      <c r="Q9" s="1">
        <f ca="1">IF(A9=1,'Data Considered'!$B$18,Manufacturer!Q8+Manufacturer!P9)</f>
        <v>47500</v>
      </c>
      <c r="R9" s="1">
        <f ca="1">J9*'Data Considered'!$D$11</f>
        <v>0</v>
      </c>
      <c r="S9" s="1">
        <f ca="1">L9*'Data Considered'!$B$22</f>
        <v>250</v>
      </c>
      <c r="T9" s="1">
        <f ca="1">K9*'Data Considered'!$B$26</f>
        <v>0</v>
      </c>
      <c r="U9" s="1">
        <f t="shared" ca="1" si="8"/>
        <v>4</v>
      </c>
      <c r="V9" s="1">
        <f ca="1">U9+'Data Considered'!$B$15-0</f>
        <v>6</v>
      </c>
      <c r="W9" s="1">
        <f t="shared" ca="1" si="9"/>
        <v>0</v>
      </c>
      <c r="X9" s="1">
        <f t="shared" ca="1" si="10"/>
        <v>3000</v>
      </c>
    </row>
    <row r="10" spans="1:24" x14ac:dyDescent="0.3">
      <c r="A10" s="1">
        <f t="shared" si="11"/>
        <v>9</v>
      </c>
      <c r="B10" s="1">
        <f ca="1">Distributor!H9</f>
        <v>83</v>
      </c>
      <c r="C10" s="1">
        <f t="shared" ca="1" si="13"/>
        <v>0</v>
      </c>
      <c r="D10" s="1">
        <f t="shared" ca="1" si="0"/>
        <v>0</v>
      </c>
      <c r="E10" s="1">
        <f t="shared" ca="1" si="1"/>
        <v>0</v>
      </c>
      <c r="F10" s="1">
        <f ca="1">IF(A10=1,'Data Considered'!$B$5,L9+E10)</f>
        <v>50</v>
      </c>
      <c r="G10" s="1">
        <f t="shared" ca="1" si="2"/>
        <v>50</v>
      </c>
      <c r="H10" s="1">
        <f t="shared" ca="1" si="3"/>
        <v>0</v>
      </c>
      <c r="I10" s="1">
        <f t="shared" ca="1" si="4"/>
        <v>50</v>
      </c>
      <c r="J10" s="1">
        <f t="shared" ca="1" si="12"/>
        <v>50</v>
      </c>
      <c r="K10" s="1">
        <f t="shared" ca="1" si="5"/>
        <v>33</v>
      </c>
      <c r="L10" s="1">
        <f t="shared" ca="1" si="6"/>
        <v>0</v>
      </c>
      <c r="M10" s="1">
        <f ca="1">J10*'Data Considered'!$B$11</f>
        <v>5000</v>
      </c>
      <c r="N10" s="1">
        <f ca="1">Distributor!P10</f>
        <v>3000</v>
      </c>
      <c r="O10" s="1">
        <f ca="1">H10*'Data Considered'!$B$12</f>
        <v>0</v>
      </c>
      <c r="P10" s="1">
        <f t="shared" ca="1" si="7"/>
        <v>2750</v>
      </c>
      <c r="Q10" s="1">
        <f ca="1">IF(A10=1,'Data Considered'!$B$18,Manufacturer!Q9+Manufacturer!P10)</f>
        <v>50250</v>
      </c>
      <c r="R10" s="1">
        <f ca="1">J10*'Data Considered'!$D$11</f>
        <v>250</v>
      </c>
      <c r="S10" s="1">
        <f ca="1">L10*'Data Considered'!$B$22</f>
        <v>0</v>
      </c>
      <c r="T10" s="1">
        <f ca="1">K10*'Data Considered'!$B$26</f>
        <v>1320</v>
      </c>
      <c r="U10" s="1">
        <f t="shared" ca="1" si="8"/>
        <v>0</v>
      </c>
      <c r="V10" s="1">
        <f ca="1">U10+'Data Considered'!$B$15-0</f>
        <v>2</v>
      </c>
      <c r="W10" s="1">
        <f t="shared" ca="1" si="9"/>
        <v>250</v>
      </c>
      <c r="X10" s="1">
        <f t="shared" ca="1" si="10"/>
        <v>0</v>
      </c>
    </row>
    <row r="11" spans="1:24" x14ac:dyDescent="0.3">
      <c r="A11" s="1">
        <f t="shared" si="11"/>
        <v>10</v>
      </c>
      <c r="B11" s="1">
        <f ca="1">Distributor!H10</f>
        <v>7</v>
      </c>
      <c r="C11" s="1">
        <f t="shared" ca="1" si="13"/>
        <v>42</v>
      </c>
      <c r="D11" s="1">
        <f t="shared" ca="1" si="0"/>
        <v>126</v>
      </c>
      <c r="E11" s="1">
        <f t="shared" ca="1" si="1"/>
        <v>0</v>
      </c>
      <c r="F11" s="1">
        <f ca="1">IF(A11=1,'Data Considered'!$B$5,L10+E11)</f>
        <v>0</v>
      </c>
      <c r="G11" s="1">
        <f t="shared" ca="1" si="2"/>
        <v>0</v>
      </c>
      <c r="H11" s="1">
        <f t="shared" ca="1" si="3"/>
        <v>126</v>
      </c>
      <c r="I11" s="1">
        <f t="shared" ca="1" si="4"/>
        <v>0</v>
      </c>
      <c r="J11" s="1">
        <f t="shared" ca="1" si="12"/>
        <v>0</v>
      </c>
      <c r="K11" s="1">
        <f t="shared" ca="1" si="5"/>
        <v>7</v>
      </c>
      <c r="L11" s="1">
        <f t="shared" ca="1" si="6"/>
        <v>0</v>
      </c>
      <c r="M11" s="1">
        <f ca="1">J11*'Data Considered'!$B$11</f>
        <v>0</v>
      </c>
      <c r="N11" s="1">
        <f ca="1">Distributor!P11</f>
        <v>0</v>
      </c>
      <c r="O11" s="1">
        <f ca="1">H11*'Data Considered'!$B$12</f>
        <v>6300</v>
      </c>
      <c r="P11" s="1">
        <f t="shared" ca="1" si="7"/>
        <v>-6300</v>
      </c>
      <c r="Q11" s="1">
        <f ca="1">IF(A11=1,'Data Considered'!$B$18,Manufacturer!Q10+Manufacturer!P11)</f>
        <v>43950</v>
      </c>
      <c r="R11" s="1">
        <f ca="1">J11*'Data Considered'!$D$11</f>
        <v>0</v>
      </c>
      <c r="S11" s="1">
        <f ca="1">L11*'Data Considered'!$B$22</f>
        <v>0</v>
      </c>
      <c r="T11" s="1">
        <f ca="1">K11*'Data Considered'!$B$26</f>
        <v>280</v>
      </c>
      <c r="U11" s="1">
        <f t="shared" ca="1" si="8"/>
        <v>0</v>
      </c>
      <c r="V11" s="1">
        <f ca="1">U11+'Data Considered'!$B$15-0</f>
        <v>2</v>
      </c>
      <c r="W11" s="1">
        <f t="shared" ca="1" si="9"/>
        <v>6300</v>
      </c>
      <c r="X11" s="1">
        <f t="shared" ca="1" si="10"/>
        <v>0</v>
      </c>
    </row>
    <row r="12" spans="1:24" x14ac:dyDescent="0.3">
      <c r="A12" s="1">
        <f t="shared" si="11"/>
        <v>11</v>
      </c>
      <c r="B12" s="1">
        <f ca="1">Distributor!H11</f>
        <v>0</v>
      </c>
      <c r="C12" s="1">
        <f t="shared" ca="1" si="13"/>
        <v>45</v>
      </c>
      <c r="D12" s="1">
        <f t="shared" ca="1" si="0"/>
        <v>135</v>
      </c>
      <c r="E12" s="1">
        <f t="shared" ca="1" si="1"/>
        <v>0</v>
      </c>
      <c r="F12" s="1">
        <f ca="1">IF(A12=1,'Data Considered'!$B$5,L11+E12)</f>
        <v>0</v>
      </c>
      <c r="G12" s="1">
        <f t="shared" ca="1" si="2"/>
        <v>126</v>
      </c>
      <c r="H12" s="1">
        <f t="shared" ca="1" si="3"/>
        <v>9</v>
      </c>
      <c r="I12" s="1">
        <f t="shared" ca="1" si="4"/>
        <v>0</v>
      </c>
      <c r="J12" s="1">
        <f t="shared" ca="1" si="12"/>
        <v>0</v>
      </c>
      <c r="K12" s="1">
        <f t="shared" ca="1" si="5"/>
        <v>0</v>
      </c>
      <c r="L12" s="1">
        <f t="shared" ca="1" si="6"/>
        <v>0</v>
      </c>
      <c r="M12" s="1">
        <f ca="1">J12*'Data Considered'!$B$11</f>
        <v>0</v>
      </c>
      <c r="N12" s="1">
        <f ca="1">Distributor!P12</f>
        <v>0</v>
      </c>
      <c r="O12" s="1">
        <f ca="1">H12*'Data Considered'!$B$12</f>
        <v>450</v>
      </c>
      <c r="P12" s="1">
        <f t="shared" ca="1" si="7"/>
        <v>-450</v>
      </c>
      <c r="Q12" s="1">
        <f ca="1">IF(A12=1,'Data Considered'!$B$18,Manufacturer!Q11+Manufacturer!P12)</f>
        <v>43500</v>
      </c>
      <c r="R12" s="1">
        <f ca="1">J12*'Data Considered'!$D$11</f>
        <v>0</v>
      </c>
      <c r="S12" s="1">
        <f ca="1">L12*'Data Considered'!$B$22</f>
        <v>0</v>
      </c>
      <c r="T12" s="1">
        <f ca="1">K12*'Data Considered'!$B$26</f>
        <v>0</v>
      </c>
      <c r="U12" s="1">
        <f t="shared" ca="1" si="8"/>
        <v>0</v>
      </c>
      <c r="V12" s="1">
        <f ca="1">U12+'Data Considered'!$B$15-0</f>
        <v>2</v>
      </c>
      <c r="W12" s="1">
        <f t="shared" ca="1" si="9"/>
        <v>450</v>
      </c>
      <c r="X12" s="1">
        <f t="shared" ca="1" si="10"/>
        <v>5000</v>
      </c>
    </row>
    <row r="13" spans="1:24" x14ac:dyDescent="0.3">
      <c r="A13" s="1">
        <f t="shared" si="11"/>
        <v>12</v>
      </c>
      <c r="B13" s="1">
        <f ca="1">Distributor!H12</f>
        <v>0</v>
      </c>
      <c r="C13" s="1">
        <f t="shared" ca="1" si="13"/>
        <v>4</v>
      </c>
      <c r="D13" s="1">
        <f t="shared" ca="1" si="0"/>
        <v>12</v>
      </c>
      <c r="E13" s="1">
        <f t="shared" ca="1" si="1"/>
        <v>126</v>
      </c>
      <c r="F13" s="1">
        <f ca="1">IF(A13=1,'Data Considered'!$B$5,L12+E13)</f>
        <v>126</v>
      </c>
      <c r="G13" s="1">
        <f t="shared" ca="1" si="2"/>
        <v>135</v>
      </c>
      <c r="H13" s="1">
        <f t="shared" ca="1" si="3"/>
        <v>0</v>
      </c>
      <c r="I13" s="1">
        <f t="shared" ca="1" si="4"/>
        <v>126</v>
      </c>
      <c r="J13" s="1">
        <f t="shared" ca="1" si="12"/>
        <v>0</v>
      </c>
      <c r="K13" s="1">
        <f t="shared" ca="1" si="5"/>
        <v>0</v>
      </c>
      <c r="L13" s="1">
        <f t="shared" ca="1" si="6"/>
        <v>126</v>
      </c>
      <c r="M13" s="1">
        <f ca="1">J13*'Data Considered'!$B$11</f>
        <v>0</v>
      </c>
      <c r="N13" s="1">
        <f ca="1">Distributor!P13</f>
        <v>5000</v>
      </c>
      <c r="O13" s="1">
        <f ca="1">H13*'Data Considered'!$B$12</f>
        <v>0</v>
      </c>
      <c r="P13" s="1">
        <f t="shared" ca="1" si="7"/>
        <v>4370</v>
      </c>
      <c r="Q13" s="1">
        <f ca="1">IF(A13=1,'Data Considered'!$B$18,Manufacturer!Q12+Manufacturer!P13)</f>
        <v>47870</v>
      </c>
      <c r="R13" s="1">
        <f ca="1">J13*'Data Considered'!$D$11</f>
        <v>0</v>
      </c>
      <c r="S13" s="1">
        <f ca="1">L13*'Data Considered'!$B$22</f>
        <v>630</v>
      </c>
      <c r="T13" s="1">
        <f ca="1">K13*'Data Considered'!$B$26</f>
        <v>0</v>
      </c>
      <c r="U13" s="1">
        <f t="shared" ca="1" si="8"/>
        <v>8</v>
      </c>
      <c r="V13" s="1">
        <f ca="1">U13+'Data Considered'!$B$15-0</f>
        <v>10</v>
      </c>
      <c r="W13" s="1">
        <f t="shared" ca="1" si="9"/>
        <v>0</v>
      </c>
      <c r="X13" s="1">
        <f t="shared" ca="1" si="10"/>
        <v>0</v>
      </c>
    </row>
    <row r="14" spans="1:24" x14ac:dyDescent="0.3">
      <c r="A14" s="1">
        <f t="shared" si="11"/>
        <v>13</v>
      </c>
      <c r="B14" s="1">
        <f ca="1">Distributor!H13</f>
        <v>0</v>
      </c>
      <c r="C14" s="1">
        <f t="shared" ca="1" si="13"/>
        <v>0</v>
      </c>
      <c r="D14" s="1">
        <f t="shared" ca="1" si="0"/>
        <v>0</v>
      </c>
      <c r="E14" s="1">
        <f t="shared" ca="1" si="1"/>
        <v>9</v>
      </c>
      <c r="F14" s="1">
        <f ca="1">IF(A14=1,'Data Considered'!$B$5,L13+E14)</f>
        <v>135</v>
      </c>
      <c r="G14" s="1">
        <f t="shared" ca="1" si="2"/>
        <v>135</v>
      </c>
      <c r="H14" s="1">
        <f t="shared" ca="1" si="3"/>
        <v>0</v>
      </c>
      <c r="I14" s="1">
        <f t="shared" ca="1" si="4"/>
        <v>135</v>
      </c>
      <c r="J14" s="1">
        <f t="shared" ca="1" si="12"/>
        <v>0</v>
      </c>
      <c r="K14" s="1">
        <f t="shared" ca="1" si="5"/>
        <v>0</v>
      </c>
      <c r="L14" s="1">
        <f t="shared" ca="1" si="6"/>
        <v>135</v>
      </c>
      <c r="M14" s="1">
        <f ca="1">J14*'Data Considered'!$B$11</f>
        <v>0</v>
      </c>
      <c r="N14" s="1">
        <f ca="1">Distributor!P14</f>
        <v>0</v>
      </c>
      <c r="O14" s="1">
        <f ca="1">H14*'Data Considered'!$B$12</f>
        <v>0</v>
      </c>
      <c r="P14" s="1">
        <f t="shared" ca="1" si="7"/>
        <v>-675</v>
      </c>
      <c r="Q14" s="1">
        <f ca="1">IF(A14=1,'Data Considered'!$B$18,Manufacturer!Q13+Manufacturer!P14)</f>
        <v>47195</v>
      </c>
      <c r="R14" s="1">
        <f ca="1">J14*'Data Considered'!$D$11</f>
        <v>0</v>
      </c>
      <c r="S14" s="1">
        <f ca="1">L14*'Data Considered'!$B$22</f>
        <v>675</v>
      </c>
      <c r="T14" s="1">
        <f ca="1">K14*'Data Considered'!$B$26</f>
        <v>0</v>
      </c>
      <c r="U14" s="1">
        <f t="shared" ca="1" si="8"/>
        <v>9</v>
      </c>
      <c r="V14" s="1">
        <f ca="1">U14+'Data Considered'!$B$15-0</f>
        <v>11</v>
      </c>
      <c r="W14" s="1">
        <f t="shared" ca="1" si="9"/>
        <v>0</v>
      </c>
      <c r="X14" s="1">
        <f t="shared" ca="1" si="10"/>
        <v>0</v>
      </c>
    </row>
    <row r="15" spans="1:24" x14ac:dyDescent="0.3">
      <c r="A15" s="1">
        <f t="shared" si="11"/>
        <v>14</v>
      </c>
      <c r="B15" s="1">
        <f ca="1">Distributor!H14</f>
        <v>87</v>
      </c>
      <c r="C15" s="1">
        <f t="shared" ca="1" si="13"/>
        <v>0</v>
      </c>
      <c r="D15" s="1">
        <f t="shared" ca="1" si="0"/>
        <v>0</v>
      </c>
      <c r="E15" s="1">
        <f t="shared" ca="1" si="1"/>
        <v>0</v>
      </c>
      <c r="F15" s="1">
        <f ca="1">IF(A15=1,'Data Considered'!$B$5,L14+E15)</f>
        <v>135</v>
      </c>
      <c r="G15" s="1">
        <f t="shared" ca="1" si="2"/>
        <v>135</v>
      </c>
      <c r="H15" s="1">
        <f t="shared" ca="1" si="3"/>
        <v>0</v>
      </c>
      <c r="I15" s="1">
        <f t="shared" ca="1" si="4"/>
        <v>135</v>
      </c>
      <c r="J15" s="1">
        <f t="shared" ca="1" si="12"/>
        <v>87</v>
      </c>
      <c r="K15" s="1">
        <f t="shared" ca="1" si="5"/>
        <v>0</v>
      </c>
      <c r="L15" s="1">
        <f t="shared" ca="1" si="6"/>
        <v>48</v>
      </c>
      <c r="M15" s="1">
        <f ca="1">J15*'Data Considered'!$B$11</f>
        <v>8700</v>
      </c>
      <c r="N15" s="1">
        <f ca="1">Distributor!P15</f>
        <v>0</v>
      </c>
      <c r="O15" s="1">
        <f ca="1">H15*'Data Considered'!$B$12</f>
        <v>0</v>
      </c>
      <c r="P15" s="1">
        <f t="shared" ca="1" si="7"/>
        <v>-675</v>
      </c>
      <c r="Q15" s="1">
        <f ca="1">IF(A15=1,'Data Considered'!$B$18,Manufacturer!Q14+Manufacturer!P15)</f>
        <v>46520</v>
      </c>
      <c r="R15" s="1">
        <f ca="1">J15*'Data Considered'!$D$11</f>
        <v>435</v>
      </c>
      <c r="S15" s="1">
        <f ca="1">L15*'Data Considered'!$B$22</f>
        <v>240</v>
      </c>
      <c r="T15" s="1">
        <f ca="1">K15*'Data Considered'!$B$26</f>
        <v>0</v>
      </c>
      <c r="U15" s="1">
        <f t="shared" ca="1" si="8"/>
        <v>3</v>
      </c>
      <c r="V15" s="1">
        <f ca="1">U15+'Data Considered'!$B$15-0</f>
        <v>5</v>
      </c>
      <c r="W15" s="1">
        <f t="shared" ca="1" si="9"/>
        <v>435</v>
      </c>
      <c r="X15" s="1">
        <f t="shared" ca="1" si="10"/>
        <v>0</v>
      </c>
    </row>
    <row r="16" spans="1:24" x14ac:dyDescent="0.3">
      <c r="A16" s="1">
        <f t="shared" si="11"/>
        <v>15</v>
      </c>
      <c r="B16" s="1">
        <f ca="1">Distributor!H15</f>
        <v>0</v>
      </c>
      <c r="C16" s="1">
        <f t="shared" ca="1" si="13"/>
        <v>44</v>
      </c>
      <c r="D16" s="1">
        <f t="shared" ca="1" si="0"/>
        <v>132</v>
      </c>
      <c r="E16" s="1">
        <f t="shared" ca="1" si="1"/>
        <v>0</v>
      </c>
      <c r="F16" s="1">
        <f ca="1">IF(A16=1,'Data Considered'!$B$5,L15+E16)</f>
        <v>48</v>
      </c>
      <c r="G16" s="1">
        <f t="shared" ca="1" si="2"/>
        <v>48</v>
      </c>
      <c r="H16" s="1">
        <f t="shared" ca="1" si="3"/>
        <v>84</v>
      </c>
      <c r="I16" s="1">
        <f t="shared" ca="1" si="4"/>
        <v>48</v>
      </c>
      <c r="J16" s="1">
        <f t="shared" ca="1" si="12"/>
        <v>0</v>
      </c>
      <c r="K16" s="1">
        <f t="shared" ca="1" si="5"/>
        <v>0</v>
      </c>
      <c r="L16" s="1">
        <f t="shared" ca="1" si="6"/>
        <v>48</v>
      </c>
      <c r="M16" s="1">
        <f ca="1">J16*'Data Considered'!$B$11</f>
        <v>0</v>
      </c>
      <c r="N16" s="1">
        <f ca="1">Distributor!P16</f>
        <v>0</v>
      </c>
      <c r="O16" s="1">
        <f ca="1">H16*'Data Considered'!$B$12</f>
        <v>4200</v>
      </c>
      <c r="P16" s="1">
        <f t="shared" ca="1" si="7"/>
        <v>-4440</v>
      </c>
      <c r="Q16" s="1">
        <f ca="1">IF(A16=1,'Data Considered'!$B$18,Manufacturer!Q15+Manufacturer!P16)</f>
        <v>42080</v>
      </c>
      <c r="R16" s="1">
        <f ca="1">J16*'Data Considered'!$D$11</f>
        <v>0</v>
      </c>
      <c r="S16" s="1">
        <f ca="1">L16*'Data Considered'!$B$22</f>
        <v>240</v>
      </c>
      <c r="T16" s="1">
        <f ca="1">K16*'Data Considered'!$B$26</f>
        <v>0</v>
      </c>
      <c r="U16" s="1">
        <f t="shared" ca="1" si="8"/>
        <v>3</v>
      </c>
      <c r="V16" s="1">
        <f ca="1">U16+'Data Considered'!$B$15-0</f>
        <v>5</v>
      </c>
      <c r="W16" s="1">
        <f t="shared" ca="1" si="9"/>
        <v>4200</v>
      </c>
      <c r="X16" s="1">
        <f t="shared" ca="1" si="10"/>
        <v>0</v>
      </c>
    </row>
    <row r="17" spans="1:24" x14ac:dyDescent="0.3">
      <c r="A17" s="1">
        <f t="shared" si="11"/>
        <v>16</v>
      </c>
      <c r="B17" s="1">
        <f ca="1">Distributor!H16</f>
        <v>0</v>
      </c>
      <c r="C17" s="1">
        <f t="shared" ca="1" si="13"/>
        <v>44</v>
      </c>
      <c r="D17" s="1">
        <f t="shared" ca="1" si="0"/>
        <v>132</v>
      </c>
      <c r="E17" s="1">
        <f t="shared" ca="1" si="1"/>
        <v>0</v>
      </c>
      <c r="F17" s="1">
        <f ca="1">IF(A17=1,'Data Considered'!$B$5,L16+E17)</f>
        <v>48</v>
      </c>
      <c r="G17" s="1">
        <f t="shared" ca="1" si="2"/>
        <v>132</v>
      </c>
      <c r="H17" s="1">
        <f t="shared" ca="1" si="3"/>
        <v>0</v>
      </c>
      <c r="I17" s="1">
        <f t="shared" ca="1" si="4"/>
        <v>48</v>
      </c>
      <c r="J17" s="1">
        <f t="shared" ca="1" si="12"/>
        <v>0</v>
      </c>
      <c r="K17" s="1">
        <f t="shared" ca="1" si="5"/>
        <v>0</v>
      </c>
      <c r="L17" s="1">
        <f t="shared" ca="1" si="6"/>
        <v>48</v>
      </c>
      <c r="M17" s="1">
        <f ca="1">J17*'Data Considered'!$B$11</f>
        <v>0</v>
      </c>
      <c r="N17" s="1">
        <f ca="1">Distributor!P17</f>
        <v>0</v>
      </c>
      <c r="O17" s="1">
        <f ca="1">H17*'Data Considered'!$B$12</f>
        <v>0</v>
      </c>
      <c r="P17" s="1">
        <f t="shared" ca="1" si="7"/>
        <v>-240</v>
      </c>
      <c r="Q17" s="1">
        <f ca="1">IF(A17=1,'Data Considered'!$B$18,Manufacturer!Q16+Manufacturer!P17)</f>
        <v>41840</v>
      </c>
      <c r="R17" s="1">
        <f ca="1">J17*'Data Considered'!$D$11</f>
        <v>0</v>
      </c>
      <c r="S17" s="1">
        <f ca="1">L17*'Data Considered'!$B$22</f>
        <v>240</v>
      </c>
      <c r="T17" s="1">
        <f ca="1">K17*'Data Considered'!$B$26</f>
        <v>0</v>
      </c>
      <c r="U17" s="1">
        <f t="shared" ca="1" si="8"/>
        <v>3</v>
      </c>
      <c r="V17" s="1">
        <f ca="1">U17+'Data Considered'!$B$15-0</f>
        <v>5</v>
      </c>
      <c r="W17" s="1">
        <f t="shared" ca="1" si="9"/>
        <v>0</v>
      </c>
      <c r="X17" s="1">
        <f t="shared" ca="1" si="10"/>
        <v>8700</v>
      </c>
    </row>
    <row r="18" spans="1:24" x14ac:dyDescent="0.3">
      <c r="A18" s="1">
        <f t="shared" si="11"/>
        <v>17</v>
      </c>
      <c r="B18" s="1">
        <f ca="1">Distributor!H17</f>
        <v>19</v>
      </c>
      <c r="C18" s="1">
        <f t="shared" ca="1" si="13"/>
        <v>0</v>
      </c>
      <c r="D18" s="1">
        <f t="shared" ca="1" si="0"/>
        <v>0</v>
      </c>
      <c r="E18" s="1">
        <f t="shared" ca="1" si="1"/>
        <v>84</v>
      </c>
      <c r="F18" s="1">
        <f ca="1">IF(A18=1,'Data Considered'!$B$5,L17+E18)</f>
        <v>132</v>
      </c>
      <c r="G18" s="1">
        <f t="shared" ca="1" si="2"/>
        <v>132</v>
      </c>
      <c r="H18" s="1">
        <f t="shared" ca="1" si="3"/>
        <v>0</v>
      </c>
      <c r="I18" s="1">
        <f t="shared" ca="1" si="4"/>
        <v>132</v>
      </c>
      <c r="J18" s="1">
        <f t="shared" ca="1" si="12"/>
        <v>19</v>
      </c>
      <c r="K18" s="1">
        <f t="shared" ca="1" si="5"/>
        <v>0</v>
      </c>
      <c r="L18" s="1">
        <f t="shared" ca="1" si="6"/>
        <v>113</v>
      </c>
      <c r="M18" s="1">
        <f ca="1">J18*'Data Considered'!$B$11</f>
        <v>1900</v>
      </c>
      <c r="N18" s="1">
        <f ca="1">Distributor!P18</f>
        <v>8700</v>
      </c>
      <c r="O18" s="1">
        <f ca="1">H18*'Data Considered'!$B$12</f>
        <v>0</v>
      </c>
      <c r="P18" s="1">
        <f t="shared" ca="1" si="7"/>
        <v>8040</v>
      </c>
      <c r="Q18" s="1">
        <f ca="1">IF(A18=1,'Data Considered'!$B$18,Manufacturer!Q17+Manufacturer!P18)</f>
        <v>49880</v>
      </c>
      <c r="R18" s="1">
        <f ca="1">J18*'Data Considered'!$D$11</f>
        <v>95</v>
      </c>
      <c r="S18" s="1">
        <f ca="1">L18*'Data Considered'!$B$22</f>
        <v>565</v>
      </c>
      <c r="T18" s="1">
        <f ca="1">K18*'Data Considered'!$B$26</f>
        <v>0</v>
      </c>
      <c r="U18" s="1">
        <f t="shared" ca="1" si="8"/>
        <v>7</v>
      </c>
      <c r="V18" s="1">
        <f ca="1">U18+'Data Considered'!$B$15-0</f>
        <v>9</v>
      </c>
      <c r="W18" s="1">
        <f t="shared" ca="1" si="9"/>
        <v>95</v>
      </c>
      <c r="X18" s="1">
        <f t="shared" ca="1" si="10"/>
        <v>0</v>
      </c>
    </row>
    <row r="19" spans="1:24" x14ac:dyDescent="0.3">
      <c r="A19" s="1">
        <f t="shared" si="11"/>
        <v>18</v>
      </c>
      <c r="B19" s="1">
        <f ca="1">Distributor!H18</f>
        <v>59</v>
      </c>
      <c r="C19" s="1">
        <f t="shared" ca="1" si="13"/>
        <v>10</v>
      </c>
      <c r="D19" s="1">
        <f t="shared" ca="1" si="0"/>
        <v>30</v>
      </c>
      <c r="E19" s="1">
        <f t="shared" ca="1" si="1"/>
        <v>0</v>
      </c>
      <c r="F19" s="1">
        <f ca="1">IF(A19=1,'Data Considered'!$B$5,L18+E19)</f>
        <v>113</v>
      </c>
      <c r="G19" s="1">
        <f t="shared" ca="1" si="2"/>
        <v>113</v>
      </c>
      <c r="H19" s="1">
        <f t="shared" ca="1" si="3"/>
        <v>0</v>
      </c>
      <c r="I19" s="1">
        <f t="shared" ca="1" si="4"/>
        <v>113</v>
      </c>
      <c r="J19" s="1">
        <f t="shared" ca="1" si="12"/>
        <v>59</v>
      </c>
      <c r="K19" s="1">
        <f t="shared" ca="1" si="5"/>
        <v>0</v>
      </c>
      <c r="L19" s="1">
        <f t="shared" ca="1" si="6"/>
        <v>54</v>
      </c>
      <c r="M19" s="1">
        <f ca="1">J19*'Data Considered'!$B$11</f>
        <v>5900</v>
      </c>
      <c r="N19" s="1">
        <f ca="1">Distributor!P19</f>
        <v>0</v>
      </c>
      <c r="O19" s="1">
        <f ca="1">H19*'Data Considered'!$B$12</f>
        <v>0</v>
      </c>
      <c r="P19" s="1">
        <f t="shared" ca="1" si="7"/>
        <v>-565</v>
      </c>
      <c r="Q19" s="1">
        <f ca="1">IF(A19=1,'Data Considered'!$B$18,Manufacturer!Q18+Manufacturer!P19)</f>
        <v>49315</v>
      </c>
      <c r="R19" s="1">
        <f ca="1">J19*'Data Considered'!$D$11</f>
        <v>295</v>
      </c>
      <c r="S19" s="1">
        <f ca="1">L19*'Data Considered'!$B$22</f>
        <v>270</v>
      </c>
      <c r="T19" s="1">
        <f ca="1">K19*'Data Considered'!$B$26</f>
        <v>0</v>
      </c>
      <c r="U19" s="1">
        <f t="shared" ca="1" si="8"/>
        <v>4</v>
      </c>
      <c r="V19" s="1">
        <f ca="1">U19+'Data Considered'!$B$15-0</f>
        <v>6</v>
      </c>
      <c r="W19" s="1">
        <f t="shared" ca="1" si="9"/>
        <v>295</v>
      </c>
      <c r="X19" s="1">
        <f t="shared" ca="1" si="10"/>
        <v>0</v>
      </c>
    </row>
    <row r="20" spans="1:24" x14ac:dyDescent="0.3">
      <c r="A20" s="1">
        <f t="shared" si="11"/>
        <v>19</v>
      </c>
      <c r="B20" s="1">
        <f ca="1">Distributor!H19</f>
        <v>0</v>
      </c>
      <c r="C20" s="1">
        <f t="shared" ca="1" si="13"/>
        <v>39</v>
      </c>
      <c r="D20" s="1">
        <f t="shared" ca="1" si="0"/>
        <v>117</v>
      </c>
      <c r="E20" s="1">
        <f t="shared" ca="1" si="1"/>
        <v>0</v>
      </c>
      <c r="F20" s="1">
        <f ca="1">IF(A20=1,'Data Considered'!$B$5,L19+E20)</f>
        <v>54</v>
      </c>
      <c r="G20" s="1">
        <f t="shared" ca="1" si="2"/>
        <v>54</v>
      </c>
      <c r="H20" s="1">
        <f t="shared" ca="1" si="3"/>
        <v>63</v>
      </c>
      <c r="I20" s="1">
        <f t="shared" ca="1" si="4"/>
        <v>54</v>
      </c>
      <c r="J20" s="1">
        <f t="shared" ca="1" si="12"/>
        <v>0</v>
      </c>
      <c r="K20" s="1">
        <f t="shared" ca="1" si="5"/>
        <v>0</v>
      </c>
      <c r="L20" s="1">
        <f t="shared" ca="1" si="6"/>
        <v>54</v>
      </c>
      <c r="M20" s="1">
        <f ca="1">J20*'Data Considered'!$B$11</f>
        <v>0</v>
      </c>
      <c r="N20" s="1">
        <f ca="1">Distributor!P20</f>
        <v>0</v>
      </c>
      <c r="O20" s="1">
        <f ca="1">H20*'Data Considered'!$B$12</f>
        <v>3150</v>
      </c>
      <c r="P20" s="1">
        <f t="shared" ca="1" si="7"/>
        <v>-3420</v>
      </c>
      <c r="Q20" s="1">
        <f ca="1">IF(A20=1,'Data Considered'!$B$18,Manufacturer!Q19+Manufacturer!P20)</f>
        <v>45895</v>
      </c>
      <c r="R20" s="1">
        <f ca="1">J20*'Data Considered'!$D$11</f>
        <v>0</v>
      </c>
      <c r="S20" s="1">
        <f ca="1">L20*'Data Considered'!$B$22</f>
        <v>270</v>
      </c>
      <c r="T20" s="1">
        <f ca="1">K20*'Data Considered'!$B$26</f>
        <v>0</v>
      </c>
      <c r="U20" s="1">
        <f t="shared" ca="1" si="8"/>
        <v>4</v>
      </c>
      <c r="V20" s="1">
        <f ca="1">U20+'Data Considered'!$B$15-0</f>
        <v>6</v>
      </c>
      <c r="W20" s="1">
        <f t="shared" ca="1" si="9"/>
        <v>3150</v>
      </c>
      <c r="X20" s="1">
        <f t="shared" ca="1" si="10"/>
        <v>1900</v>
      </c>
    </row>
    <row r="21" spans="1:24" x14ac:dyDescent="0.3">
      <c r="A21" s="1">
        <f t="shared" si="11"/>
        <v>20</v>
      </c>
      <c r="B21" s="1">
        <f ca="1">Distributor!H20</f>
        <v>0</v>
      </c>
      <c r="C21" s="1">
        <f t="shared" ca="1" si="13"/>
        <v>30</v>
      </c>
      <c r="D21" s="1">
        <f t="shared" ca="1" si="0"/>
        <v>90</v>
      </c>
      <c r="E21" s="1">
        <f t="shared" ca="1" si="1"/>
        <v>0</v>
      </c>
      <c r="F21" s="1">
        <f ca="1">IF(A21=1,'Data Considered'!$B$5,L20+E21)</f>
        <v>54</v>
      </c>
      <c r="G21" s="1">
        <f t="shared" ca="1" si="2"/>
        <v>117</v>
      </c>
      <c r="H21" s="1">
        <f t="shared" ca="1" si="3"/>
        <v>0</v>
      </c>
      <c r="I21" s="1">
        <f t="shared" ca="1" si="4"/>
        <v>54</v>
      </c>
      <c r="J21" s="1">
        <f t="shared" ca="1" si="12"/>
        <v>0</v>
      </c>
      <c r="K21" s="1">
        <f t="shared" ca="1" si="5"/>
        <v>0</v>
      </c>
      <c r="L21" s="1">
        <f t="shared" ca="1" si="6"/>
        <v>54</v>
      </c>
      <c r="M21" s="1">
        <f ca="1">J21*'Data Considered'!$B$11</f>
        <v>0</v>
      </c>
      <c r="N21" s="1">
        <f ca="1">Distributor!P21</f>
        <v>1900</v>
      </c>
      <c r="O21" s="1">
        <f ca="1">H21*'Data Considered'!$B$12</f>
        <v>0</v>
      </c>
      <c r="P21" s="1">
        <f t="shared" ca="1" si="7"/>
        <v>1630</v>
      </c>
      <c r="Q21" s="1">
        <f ca="1">IF(A21=1,'Data Considered'!$B$18,Manufacturer!Q20+Manufacturer!P21)</f>
        <v>47525</v>
      </c>
      <c r="R21" s="1">
        <f ca="1">J21*'Data Considered'!$D$11</f>
        <v>0</v>
      </c>
      <c r="S21" s="1">
        <f ca="1">L21*'Data Considered'!$B$22</f>
        <v>270</v>
      </c>
      <c r="T21" s="1">
        <f ca="1">K21*'Data Considered'!$B$26</f>
        <v>0</v>
      </c>
      <c r="U21" s="1">
        <f t="shared" ca="1" si="8"/>
        <v>4</v>
      </c>
      <c r="V21" s="1">
        <f ca="1">U21+'Data Considered'!$B$15-0</f>
        <v>6</v>
      </c>
      <c r="W21" s="1">
        <f t="shared" ca="1" si="9"/>
        <v>0</v>
      </c>
      <c r="X21" s="1">
        <f t="shared" ca="1" si="10"/>
        <v>5900</v>
      </c>
    </row>
    <row r="22" spans="1:24" x14ac:dyDescent="0.3">
      <c r="A22" s="1">
        <f t="shared" si="11"/>
        <v>21</v>
      </c>
      <c r="B22" s="1">
        <f ca="1">Distributor!H21</f>
        <v>0</v>
      </c>
      <c r="C22" s="1">
        <f t="shared" ca="1" si="13"/>
        <v>0</v>
      </c>
      <c r="D22" s="1">
        <f t="shared" ca="1" si="0"/>
        <v>0</v>
      </c>
      <c r="E22" s="1">
        <f t="shared" ca="1" si="1"/>
        <v>63</v>
      </c>
      <c r="F22" s="1">
        <f ca="1">IF(A22=1,'Data Considered'!$B$5,L21+E22)</f>
        <v>117</v>
      </c>
      <c r="G22" s="1">
        <f t="shared" ca="1" si="2"/>
        <v>117</v>
      </c>
      <c r="H22" s="1">
        <f t="shared" ca="1" si="3"/>
        <v>0</v>
      </c>
      <c r="I22" s="1">
        <f t="shared" ca="1" si="4"/>
        <v>117</v>
      </c>
      <c r="J22" s="1">
        <f t="shared" ca="1" si="12"/>
        <v>0</v>
      </c>
      <c r="K22" s="1">
        <f t="shared" ca="1" si="5"/>
        <v>0</v>
      </c>
      <c r="L22" s="1">
        <f t="shared" ca="1" si="6"/>
        <v>117</v>
      </c>
      <c r="M22" s="1">
        <f ca="1">J22*'Data Considered'!$B$11</f>
        <v>0</v>
      </c>
      <c r="N22" s="1">
        <f ca="1">Distributor!P22</f>
        <v>5900</v>
      </c>
      <c r="O22" s="1">
        <f ca="1">H22*'Data Considered'!$B$12</f>
        <v>0</v>
      </c>
      <c r="P22" s="1">
        <f t="shared" ca="1" si="7"/>
        <v>5315</v>
      </c>
      <c r="Q22" s="1">
        <f ca="1">IF(A22=1,'Data Considered'!$B$18,Manufacturer!Q21+Manufacturer!P22)</f>
        <v>52840</v>
      </c>
      <c r="R22" s="1">
        <f ca="1">J22*'Data Considered'!$D$11</f>
        <v>0</v>
      </c>
      <c r="S22" s="1">
        <f ca="1">L22*'Data Considered'!$B$22</f>
        <v>585</v>
      </c>
      <c r="T22" s="1">
        <f ca="1">K22*'Data Considered'!$B$26</f>
        <v>0</v>
      </c>
      <c r="U22" s="1">
        <f t="shared" ca="1" si="8"/>
        <v>8</v>
      </c>
      <c r="V22" s="1">
        <f ca="1">U22+'Data Considered'!$B$15-0</f>
        <v>10</v>
      </c>
      <c r="W22" s="1">
        <f t="shared" ca="1" si="9"/>
        <v>0</v>
      </c>
      <c r="X22" s="1">
        <f t="shared" ca="1" si="10"/>
        <v>0</v>
      </c>
    </row>
    <row r="23" spans="1:24" x14ac:dyDescent="0.3">
      <c r="A23" s="1">
        <f t="shared" si="11"/>
        <v>22</v>
      </c>
      <c r="B23" s="1">
        <f ca="1">Distributor!H22</f>
        <v>0</v>
      </c>
      <c r="C23" s="1">
        <f t="shared" ca="1" si="13"/>
        <v>0</v>
      </c>
      <c r="D23" s="1">
        <f t="shared" ca="1" si="0"/>
        <v>0</v>
      </c>
      <c r="E23" s="1">
        <f t="shared" ca="1" si="1"/>
        <v>0</v>
      </c>
      <c r="F23" s="1">
        <f ca="1">IF(A23=1,'Data Considered'!$B$5,L22+E23)</f>
        <v>117</v>
      </c>
      <c r="G23" s="1">
        <f t="shared" ca="1" si="2"/>
        <v>117</v>
      </c>
      <c r="H23" s="1">
        <f t="shared" ca="1" si="3"/>
        <v>0</v>
      </c>
      <c r="I23" s="1">
        <f t="shared" ca="1" si="4"/>
        <v>117</v>
      </c>
      <c r="J23" s="1">
        <f t="shared" ca="1" si="12"/>
        <v>0</v>
      </c>
      <c r="K23" s="1">
        <f t="shared" ca="1" si="5"/>
        <v>0</v>
      </c>
      <c r="L23" s="1">
        <f t="shared" ca="1" si="6"/>
        <v>117</v>
      </c>
      <c r="M23" s="1">
        <f ca="1">J23*'Data Considered'!$B$11</f>
        <v>0</v>
      </c>
      <c r="N23" s="1">
        <f ca="1">Distributor!P23</f>
        <v>0</v>
      </c>
      <c r="O23" s="1">
        <f ca="1">H23*'Data Considered'!$B$12</f>
        <v>0</v>
      </c>
      <c r="P23" s="1">
        <f t="shared" ca="1" si="7"/>
        <v>-585</v>
      </c>
      <c r="Q23" s="1">
        <f ca="1">IF(A23=1,'Data Considered'!$B$18,Manufacturer!Q22+Manufacturer!P23)</f>
        <v>52255</v>
      </c>
      <c r="R23" s="1">
        <f ca="1">J23*'Data Considered'!$D$11</f>
        <v>0</v>
      </c>
      <c r="S23" s="1">
        <f ca="1">L23*'Data Considered'!$B$22</f>
        <v>585</v>
      </c>
      <c r="T23" s="1">
        <f ca="1">K23*'Data Considered'!$B$26</f>
        <v>0</v>
      </c>
      <c r="U23" s="1">
        <f t="shared" ca="1" si="8"/>
        <v>8</v>
      </c>
      <c r="V23" s="1">
        <f ca="1">U23+'Data Considered'!$B$15-0</f>
        <v>10</v>
      </c>
      <c r="W23" s="1">
        <f t="shared" ca="1" si="9"/>
        <v>0</v>
      </c>
      <c r="X23" s="1">
        <f t="shared" ca="1" si="10"/>
        <v>0</v>
      </c>
    </row>
    <row r="24" spans="1:24" x14ac:dyDescent="0.3">
      <c r="A24" s="1">
        <f t="shared" si="11"/>
        <v>23</v>
      </c>
      <c r="B24" s="1">
        <f ca="1">Distributor!H23</f>
        <v>0</v>
      </c>
      <c r="C24" s="1">
        <f t="shared" ca="1" si="13"/>
        <v>0</v>
      </c>
      <c r="D24" s="1">
        <f t="shared" ca="1" si="0"/>
        <v>0</v>
      </c>
      <c r="E24" s="1">
        <f t="shared" ca="1" si="1"/>
        <v>0</v>
      </c>
      <c r="F24" s="1">
        <f ca="1">IF(A24=1,'Data Considered'!$B$5,L23+E24)</f>
        <v>117</v>
      </c>
      <c r="G24" s="1">
        <f t="shared" ca="1" si="2"/>
        <v>117</v>
      </c>
      <c r="H24" s="1">
        <f t="shared" ca="1" si="3"/>
        <v>0</v>
      </c>
      <c r="I24" s="1">
        <f t="shared" ca="1" si="4"/>
        <v>117</v>
      </c>
      <c r="J24" s="1">
        <f t="shared" ca="1" si="12"/>
        <v>0</v>
      </c>
      <c r="K24" s="1">
        <f t="shared" ca="1" si="5"/>
        <v>0</v>
      </c>
      <c r="L24" s="1">
        <f t="shared" ca="1" si="6"/>
        <v>117</v>
      </c>
      <c r="M24" s="1">
        <f ca="1">J24*'Data Considered'!$B$11</f>
        <v>0</v>
      </c>
      <c r="N24" s="1">
        <f ca="1">Distributor!P24</f>
        <v>0</v>
      </c>
      <c r="O24" s="1">
        <f ca="1">H24*'Data Considered'!$B$12</f>
        <v>0</v>
      </c>
      <c r="P24" s="1">
        <f t="shared" ca="1" si="7"/>
        <v>-585</v>
      </c>
      <c r="Q24" s="1">
        <f ca="1">IF(A24=1,'Data Considered'!$B$18,Manufacturer!Q23+Manufacturer!P24)</f>
        <v>51670</v>
      </c>
      <c r="R24" s="1">
        <f ca="1">J24*'Data Considered'!$D$11</f>
        <v>0</v>
      </c>
      <c r="S24" s="1">
        <f ca="1">L24*'Data Considered'!$B$22</f>
        <v>585</v>
      </c>
      <c r="T24" s="1">
        <f ca="1">K24*'Data Considered'!$B$26</f>
        <v>0</v>
      </c>
      <c r="U24" s="1">
        <f t="shared" ca="1" si="8"/>
        <v>8</v>
      </c>
      <c r="V24" s="1">
        <f ca="1">U24+'Data Considered'!$B$15-0</f>
        <v>10</v>
      </c>
      <c r="W24" s="1">
        <f t="shared" ca="1" si="9"/>
        <v>0</v>
      </c>
      <c r="X24" s="1">
        <f t="shared" ca="1" si="10"/>
        <v>0</v>
      </c>
    </row>
    <row r="25" spans="1:24" x14ac:dyDescent="0.3">
      <c r="A25" s="1">
        <f t="shared" si="11"/>
        <v>24</v>
      </c>
      <c r="B25" s="1">
        <f ca="1">Distributor!H24</f>
        <v>63</v>
      </c>
      <c r="C25" s="1">
        <f t="shared" ca="1" si="13"/>
        <v>0</v>
      </c>
      <c r="D25" s="1">
        <f t="shared" ca="1" si="0"/>
        <v>0</v>
      </c>
      <c r="E25" s="1">
        <f t="shared" ca="1" si="1"/>
        <v>0</v>
      </c>
      <c r="F25" s="1">
        <f ca="1">IF(A25=1,'Data Considered'!$B$5,L24+E25)</f>
        <v>117</v>
      </c>
      <c r="G25" s="1">
        <f t="shared" ca="1" si="2"/>
        <v>117</v>
      </c>
      <c r="H25" s="1">
        <f t="shared" ca="1" si="3"/>
        <v>0</v>
      </c>
      <c r="I25" s="1">
        <f t="shared" ca="1" si="4"/>
        <v>117</v>
      </c>
      <c r="J25" s="1">
        <f t="shared" ca="1" si="12"/>
        <v>63</v>
      </c>
      <c r="K25" s="1">
        <f t="shared" ca="1" si="5"/>
        <v>0</v>
      </c>
      <c r="L25" s="1">
        <f t="shared" ca="1" si="6"/>
        <v>54</v>
      </c>
      <c r="M25" s="1">
        <f ca="1">J25*'Data Considered'!$B$11</f>
        <v>6300</v>
      </c>
      <c r="N25" s="1">
        <f ca="1">Distributor!P25</f>
        <v>0</v>
      </c>
      <c r="O25" s="1">
        <f ca="1">H25*'Data Considered'!$B$12</f>
        <v>0</v>
      </c>
      <c r="P25" s="1">
        <f t="shared" ca="1" si="7"/>
        <v>-585</v>
      </c>
      <c r="Q25" s="1">
        <f ca="1">IF(A25=1,'Data Considered'!$B$18,Manufacturer!Q24+Manufacturer!P25)</f>
        <v>51085</v>
      </c>
      <c r="R25" s="1">
        <f ca="1">J25*'Data Considered'!$D$11</f>
        <v>315</v>
      </c>
      <c r="S25" s="1">
        <f ca="1">L25*'Data Considered'!$B$22</f>
        <v>270</v>
      </c>
      <c r="T25" s="1">
        <f ca="1">K25*'Data Considered'!$B$26</f>
        <v>0</v>
      </c>
      <c r="U25" s="1">
        <f t="shared" ca="1" si="8"/>
        <v>4</v>
      </c>
      <c r="V25" s="1">
        <f ca="1">U25+'Data Considered'!$B$15-0</f>
        <v>6</v>
      </c>
      <c r="W25" s="1">
        <f t="shared" ca="1" si="9"/>
        <v>315</v>
      </c>
      <c r="X25" s="1">
        <f t="shared" ca="1" si="10"/>
        <v>0</v>
      </c>
    </row>
    <row r="26" spans="1:24" x14ac:dyDescent="0.3">
      <c r="A26" s="1">
        <f t="shared" si="11"/>
        <v>25</v>
      </c>
      <c r="B26" s="1">
        <f ca="1">Distributor!H25</f>
        <v>30</v>
      </c>
      <c r="C26" s="1">
        <f t="shared" ca="1" si="13"/>
        <v>32</v>
      </c>
      <c r="D26" s="1">
        <f t="shared" ca="1" si="0"/>
        <v>96</v>
      </c>
      <c r="E26" s="1">
        <f t="shared" ca="1" si="1"/>
        <v>0</v>
      </c>
      <c r="F26" s="1">
        <f ca="1">IF(A26=1,'Data Considered'!$B$5,L25+E26)</f>
        <v>54</v>
      </c>
      <c r="G26" s="1">
        <f t="shared" ca="1" si="2"/>
        <v>54</v>
      </c>
      <c r="H26" s="1">
        <f t="shared" ca="1" si="3"/>
        <v>42</v>
      </c>
      <c r="I26" s="1">
        <f t="shared" ca="1" si="4"/>
        <v>54</v>
      </c>
      <c r="J26" s="1">
        <f t="shared" ca="1" si="12"/>
        <v>30</v>
      </c>
      <c r="K26" s="1">
        <f t="shared" ca="1" si="5"/>
        <v>0</v>
      </c>
      <c r="L26" s="1">
        <f t="shared" ca="1" si="6"/>
        <v>24</v>
      </c>
      <c r="M26" s="1">
        <f ca="1">J26*'Data Considered'!$B$11</f>
        <v>3000</v>
      </c>
      <c r="N26" s="1">
        <f ca="1">Distributor!P26</f>
        <v>0</v>
      </c>
      <c r="O26" s="1">
        <f ca="1">H26*'Data Considered'!$B$12</f>
        <v>2100</v>
      </c>
      <c r="P26" s="1">
        <f t="shared" ca="1" si="7"/>
        <v>-2370</v>
      </c>
      <c r="Q26" s="1">
        <f ca="1">IF(A26=1,'Data Considered'!$B$18,Manufacturer!Q25+Manufacturer!P26)</f>
        <v>48715</v>
      </c>
      <c r="R26" s="1">
        <f ca="1">J26*'Data Considered'!$D$11</f>
        <v>150</v>
      </c>
      <c r="S26" s="1">
        <f ca="1">L26*'Data Considered'!$B$22</f>
        <v>120</v>
      </c>
      <c r="T26" s="1">
        <f ca="1">K26*'Data Considered'!$B$26</f>
        <v>0</v>
      </c>
      <c r="U26" s="1">
        <f t="shared" ca="1" si="8"/>
        <v>2</v>
      </c>
      <c r="V26" s="1">
        <f ca="1">U26+'Data Considered'!$B$15-0</f>
        <v>4</v>
      </c>
      <c r="W26" s="1">
        <f t="shared" ca="1" si="9"/>
        <v>2250</v>
      </c>
      <c r="X26" s="1">
        <f t="shared" ca="1" si="10"/>
        <v>0</v>
      </c>
    </row>
    <row r="27" spans="1:24" x14ac:dyDescent="0.3">
      <c r="A27" s="1">
        <f t="shared" si="11"/>
        <v>26</v>
      </c>
      <c r="B27" s="1">
        <f ca="1">Distributor!H26</f>
        <v>0</v>
      </c>
      <c r="C27" s="1">
        <f t="shared" ca="1" si="13"/>
        <v>47</v>
      </c>
      <c r="D27" s="1">
        <f t="shared" ca="1" si="0"/>
        <v>141</v>
      </c>
      <c r="E27" s="1">
        <f t="shared" ca="1" si="1"/>
        <v>0</v>
      </c>
      <c r="F27" s="1">
        <f ca="1">IF(A27=1,'Data Considered'!$B$5,L26+E27)</f>
        <v>24</v>
      </c>
      <c r="G27" s="1">
        <f t="shared" ca="1" si="2"/>
        <v>66</v>
      </c>
      <c r="H27" s="1">
        <f t="shared" ca="1" si="3"/>
        <v>75</v>
      </c>
      <c r="I27" s="1">
        <f t="shared" ca="1" si="4"/>
        <v>24</v>
      </c>
      <c r="J27" s="1">
        <f t="shared" ca="1" si="12"/>
        <v>0</v>
      </c>
      <c r="K27" s="1">
        <f t="shared" ca="1" si="5"/>
        <v>0</v>
      </c>
      <c r="L27" s="1">
        <f t="shared" ca="1" si="6"/>
        <v>24</v>
      </c>
      <c r="M27" s="1">
        <f ca="1">J27*'Data Considered'!$B$11</f>
        <v>0</v>
      </c>
      <c r="N27" s="1">
        <f ca="1">Distributor!P27</f>
        <v>0</v>
      </c>
      <c r="O27" s="1">
        <f ca="1">H27*'Data Considered'!$B$12</f>
        <v>3750</v>
      </c>
      <c r="P27" s="1">
        <f t="shared" ca="1" si="7"/>
        <v>-3870</v>
      </c>
      <c r="Q27" s="1">
        <f ca="1">IF(A27=1,'Data Considered'!$B$18,Manufacturer!Q26+Manufacturer!P27)</f>
        <v>44845</v>
      </c>
      <c r="R27" s="1">
        <f ca="1">J27*'Data Considered'!$D$11</f>
        <v>0</v>
      </c>
      <c r="S27" s="1">
        <f ca="1">L27*'Data Considered'!$B$22</f>
        <v>120</v>
      </c>
      <c r="T27" s="1">
        <f ca="1">K27*'Data Considered'!$B$26</f>
        <v>0</v>
      </c>
      <c r="U27" s="1">
        <f t="shared" ca="1" si="8"/>
        <v>2</v>
      </c>
      <c r="V27" s="1">
        <f ca="1">U27+'Data Considered'!$B$15-0</f>
        <v>4</v>
      </c>
      <c r="W27" s="1">
        <f t="shared" ca="1" si="9"/>
        <v>3750</v>
      </c>
      <c r="X27" s="1">
        <f t="shared" ca="1" si="10"/>
        <v>6300</v>
      </c>
    </row>
    <row r="28" spans="1:24" x14ac:dyDescent="0.3">
      <c r="A28" s="1">
        <f t="shared" si="11"/>
        <v>27</v>
      </c>
      <c r="B28" s="1">
        <f ca="1">Distributor!H27</f>
        <v>0</v>
      </c>
      <c r="C28" s="1">
        <f t="shared" ca="1" si="13"/>
        <v>15</v>
      </c>
      <c r="D28" s="1">
        <f t="shared" ca="1" si="0"/>
        <v>45</v>
      </c>
      <c r="E28" s="1">
        <f t="shared" ca="1" si="1"/>
        <v>42</v>
      </c>
      <c r="F28" s="1">
        <f ca="1">IF(A28=1,'Data Considered'!$B$5,L27+E28)</f>
        <v>66</v>
      </c>
      <c r="G28" s="1">
        <f t="shared" ca="1" si="2"/>
        <v>141</v>
      </c>
      <c r="H28" s="1">
        <f t="shared" ca="1" si="3"/>
        <v>0</v>
      </c>
      <c r="I28" s="1">
        <f t="shared" ca="1" si="4"/>
        <v>66</v>
      </c>
      <c r="J28" s="1">
        <f t="shared" ca="1" si="12"/>
        <v>0</v>
      </c>
      <c r="K28" s="1">
        <f t="shared" ca="1" si="5"/>
        <v>0</v>
      </c>
      <c r="L28" s="1">
        <f t="shared" ca="1" si="6"/>
        <v>66</v>
      </c>
      <c r="M28" s="1">
        <f ca="1">J28*'Data Considered'!$B$11</f>
        <v>0</v>
      </c>
      <c r="N28" s="1">
        <f ca="1">Distributor!P28</f>
        <v>6300</v>
      </c>
      <c r="O28" s="1">
        <f ca="1">H28*'Data Considered'!$B$12</f>
        <v>0</v>
      </c>
      <c r="P28" s="1">
        <f t="shared" ca="1" si="7"/>
        <v>5970</v>
      </c>
      <c r="Q28" s="1">
        <f ca="1">IF(A28=1,'Data Considered'!$B$18,Manufacturer!Q27+Manufacturer!P28)</f>
        <v>50815</v>
      </c>
      <c r="R28" s="1">
        <f ca="1">J28*'Data Considered'!$D$11</f>
        <v>0</v>
      </c>
      <c r="S28" s="1">
        <f ca="1">L28*'Data Considered'!$B$22</f>
        <v>330</v>
      </c>
      <c r="T28" s="1">
        <f ca="1">K28*'Data Considered'!$B$26</f>
        <v>0</v>
      </c>
      <c r="U28" s="1">
        <f t="shared" ca="1" si="8"/>
        <v>5</v>
      </c>
      <c r="V28" s="1">
        <f ca="1">U28+'Data Considered'!$B$15-0</f>
        <v>7</v>
      </c>
      <c r="W28" s="1">
        <f t="shared" ca="1" si="9"/>
        <v>0</v>
      </c>
      <c r="X28" s="1">
        <f t="shared" ca="1" si="10"/>
        <v>3000</v>
      </c>
    </row>
    <row r="29" spans="1:24" x14ac:dyDescent="0.3">
      <c r="A29" s="1">
        <f t="shared" si="11"/>
        <v>28</v>
      </c>
      <c r="B29" s="1">
        <f ca="1">Distributor!H28</f>
        <v>0</v>
      </c>
      <c r="C29" s="1">
        <f t="shared" ca="1" si="13"/>
        <v>0</v>
      </c>
      <c r="D29" s="1">
        <f t="shared" ca="1" si="0"/>
        <v>0</v>
      </c>
      <c r="E29" s="1">
        <f t="shared" ca="1" si="1"/>
        <v>75</v>
      </c>
      <c r="F29" s="1">
        <f ca="1">IF(A29=1,'Data Considered'!$B$5,L28+E29)</f>
        <v>141</v>
      </c>
      <c r="G29" s="1">
        <f t="shared" ca="1" si="2"/>
        <v>141</v>
      </c>
      <c r="H29" s="1">
        <f t="shared" ca="1" si="3"/>
        <v>0</v>
      </c>
      <c r="I29" s="1">
        <f t="shared" ca="1" si="4"/>
        <v>141</v>
      </c>
      <c r="J29" s="1">
        <f t="shared" ca="1" si="12"/>
        <v>0</v>
      </c>
      <c r="K29" s="1">
        <f t="shared" ca="1" si="5"/>
        <v>0</v>
      </c>
      <c r="L29" s="1">
        <f t="shared" ca="1" si="6"/>
        <v>141</v>
      </c>
      <c r="M29" s="1">
        <f ca="1">J29*'Data Considered'!$B$11</f>
        <v>0</v>
      </c>
      <c r="N29" s="1">
        <f ca="1">Distributor!P29</f>
        <v>3000</v>
      </c>
      <c r="O29" s="1">
        <f ca="1">H29*'Data Considered'!$B$12</f>
        <v>0</v>
      </c>
      <c r="P29" s="1">
        <f t="shared" ca="1" si="7"/>
        <v>2295</v>
      </c>
      <c r="Q29" s="1">
        <f ca="1">IF(A29=1,'Data Considered'!$B$18,Manufacturer!Q28+Manufacturer!P29)</f>
        <v>53110</v>
      </c>
      <c r="R29" s="1">
        <f ca="1">J29*'Data Considered'!$D$11</f>
        <v>0</v>
      </c>
      <c r="S29" s="1">
        <f ca="1">L29*'Data Considered'!$B$22</f>
        <v>705</v>
      </c>
      <c r="T29" s="1">
        <f ca="1">K29*'Data Considered'!$B$26</f>
        <v>0</v>
      </c>
      <c r="U29" s="1">
        <f t="shared" ca="1" si="8"/>
        <v>9</v>
      </c>
      <c r="V29" s="1">
        <f ca="1">U29+'Data Considered'!$B$15-0</f>
        <v>11</v>
      </c>
      <c r="W29" s="1">
        <f t="shared" ca="1" si="9"/>
        <v>0</v>
      </c>
      <c r="X29" s="1">
        <f t="shared" ca="1" si="10"/>
        <v>0</v>
      </c>
    </row>
    <row r="30" spans="1:24" x14ac:dyDescent="0.3">
      <c r="A30" s="1">
        <f t="shared" si="11"/>
        <v>29</v>
      </c>
      <c r="B30" s="1">
        <f ca="1">Distributor!H29</f>
        <v>18</v>
      </c>
      <c r="C30" s="1">
        <f t="shared" ca="1" si="13"/>
        <v>0</v>
      </c>
      <c r="D30" s="1">
        <f t="shared" ca="1" si="0"/>
        <v>0</v>
      </c>
      <c r="E30" s="1">
        <f t="shared" ca="1" si="1"/>
        <v>0</v>
      </c>
      <c r="F30" s="1">
        <f ca="1">IF(A30=1,'Data Considered'!$B$5,L29+E30)</f>
        <v>141</v>
      </c>
      <c r="G30" s="1">
        <f t="shared" ca="1" si="2"/>
        <v>141</v>
      </c>
      <c r="H30" s="1">
        <f t="shared" ca="1" si="3"/>
        <v>0</v>
      </c>
      <c r="I30" s="1">
        <f t="shared" ca="1" si="4"/>
        <v>141</v>
      </c>
      <c r="J30" s="1">
        <f t="shared" ca="1" si="12"/>
        <v>18</v>
      </c>
      <c r="K30" s="1">
        <f t="shared" ca="1" si="5"/>
        <v>0</v>
      </c>
      <c r="L30" s="1">
        <f t="shared" ca="1" si="6"/>
        <v>123</v>
      </c>
      <c r="M30" s="1">
        <f ca="1">J30*'Data Considered'!$B$11</f>
        <v>1800</v>
      </c>
      <c r="N30" s="1">
        <f ca="1">Distributor!P30</f>
        <v>0</v>
      </c>
      <c r="O30" s="1">
        <f ca="1">H30*'Data Considered'!$B$12</f>
        <v>0</v>
      </c>
      <c r="P30" s="1">
        <f t="shared" ca="1" si="7"/>
        <v>-705</v>
      </c>
      <c r="Q30" s="1">
        <f ca="1">IF(A30=1,'Data Considered'!$B$18,Manufacturer!Q29+Manufacturer!P30)</f>
        <v>52405</v>
      </c>
      <c r="R30" s="1">
        <f ca="1">J30*'Data Considered'!$D$11</f>
        <v>90</v>
      </c>
      <c r="S30" s="1">
        <f ca="1">L30*'Data Considered'!$B$22</f>
        <v>615</v>
      </c>
      <c r="T30" s="1">
        <f ca="1">K30*'Data Considered'!$B$26</f>
        <v>0</v>
      </c>
      <c r="U30" s="1">
        <f t="shared" ca="1" si="8"/>
        <v>8</v>
      </c>
      <c r="V30" s="1">
        <f ca="1">U30+'Data Considered'!$B$15-0</f>
        <v>10</v>
      </c>
      <c r="W30" s="1">
        <f t="shared" ca="1" si="9"/>
        <v>90</v>
      </c>
      <c r="X30" s="1">
        <f t="shared" ca="1" si="10"/>
        <v>0</v>
      </c>
    </row>
    <row r="31" spans="1:24" x14ac:dyDescent="0.3">
      <c r="A31" s="1">
        <f t="shared" si="11"/>
        <v>30</v>
      </c>
      <c r="B31" s="1">
        <f ca="1">Distributor!H30</f>
        <v>75</v>
      </c>
      <c r="C31" s="1">
        <f t="shared" ca="1" si="13"/>
        <v>9</v>
      </c>
      <c r="D31" s="1">
        <f t="shared" ca="1" si="0"/>
        <v>27</v>
      </c>
      <c r="E31" s="1">
        <f t="shared" ca="1" si="1"/>
        <v>0</v>
      </c>
      <c r="F31" s="1">
        <f ca="1">IF(A31=1,'Data Considered'!$B$5,L30+E31)</f>
        <v>123</v>
      </c>
      <c r="G31" s="1">
        <f t="shared" ca="1" si="2"/>
        <v>123</v>
      </c>
      <c r="H31" s="1">
        <f t="shared" ca="1" si="3"/>
        <v>0</v>
      </c>
      <c r="I31" s="1">
        <f t="shared" ca="1" si="4"/>
        <v>123</v>
      </c>
      <c r="J31" s="1">
        <f t="shared" ca="1" si="12"/>
        <v>75</v>
      </c>
      <c r="K31" s="1">
        <f t="shared" ca="1" si="5"/>
        <v>0</v>
      </c>
      <c r="L31" s="1">
        <f t="shared" ca="1" si="6"/>
        <v>48</v>
      </c>
      <c r="M31" s="1">
        <f ca="1">J31*'Data Considered'!$B$11</f>
        <v>7500</v>
      </c>
      <c r="N31" s="1">
        <f ca="1">Distributor!P31</f>
        <v>0</v>
      </c>
      <c r="O31" s="1">
        <f ca="1">H31*'Data Considered'!$B$12</f>
        <v>0</v>
      </c>
      <c r="P31" s="1">
        <f t="shared" ca="1" si="7"/>
        <v>-615</v>
      </c>
      <c r="Q31" s="1">
        <f ca="1">IF(A31=1,'Data Considered'!$B$18,Manufacturer!Q30+Manufacturer!P31)</f>
        <v>51790</v>
      </c>
      <c r="R31" s="1">
        <f ca="1">J31*'Data Considered'!$D$11</f>
        <v>375</v>
      </c>
      <c r="S31" s="1">
        <f ca="1">L31*'Data Considered'!$B$22</f>
        <v>240</v>
      </c>
      <c r="T31" s="1">
        <f ca="1">K31*'Data Considered'!$B$26</f>
        <v>0</v>
      </c>
      <c r="U31" s="1">
        <f t="shared" ca="1" si="8"/>
        <v>3</v>
      </c>
      <c r="V31" s="1">
        <f ca="1">U31+'Data Considered'!$B$15-0</f>
        <v>5</v>
      </c>
      <c r="W31" s="1">
        <f t="shared" ca="1" si="9"/>
        <v>375</v>
      </c>
      <c r="X31" s="1">
        <f t="shared" ca="1" si="10"/>
        <v>0</v>
      </c>
    </row>
    <row r="32" spans="1:24" x14ac:dyDescent="0.3">
      <c r="A32" s="1">
        <f t="shared" si="11"/>
        <v>31</v>
      </c>
      <c r="B32" s="1">
        <f ca="1">Distributor!H31</f>
        <v>0</v>
      </c>
      <c r="C32" s="1">
        <f t="shared" ref="C32:C95" ca="1" si="14">ROUNDUP(AVERAGE(B30,B31),0)</f>
        <v>47</v>
      </c>
      <c r="D32" s="1">
        <f t="shared" ref="D32:D95" ca="1" si="15">3*C32</f>
        <v>141</v>
      </c>
      <c r="E32" s="1">
        <f t="shared" ref="E32:E95" ca="1" si="16">IF(A32&gt;2,OFFSET(H32,-2,0),0)</f>
        <v>0</v>
      </c>
      <c r="F32" s="1">
        <f ca="1">IF(A32=1,'Data Considered'!$B$5,L31+E32)</f>
        <v>48</v>
      </c>
      <c r="G32" s="1">
        <f t="shared" ref="G32:G95" ca="1" si="17">F32+IF(A32&gt;1,H31,0)</f>
        <v>48</v>
      </c>
      <c r="H32" s="1">
        <f t="shared" ref="H32:H95" ca="1" si="18">IF(D32&gt;G32,D32-G32,0)</f>
        <v>93</v>
      </c>
      <c r="I32" s="1">
        <f t="shared" ca="1" si="4"/>
        <v>48</v>
      </c>
      <c r="J32" s="1">
        <f t="shared" ca="1" si="12"/>
        <v>0</v>
      </c>
      <c r="K32" s="1">
        <f t="shared" ref="K32:K95" ca="1" si="19">B32-J32</f>
        <v>0</v>
      </c>
      <c r="L32" s="1">
        <f t="shared" ref="L32:L95" ca="1" si="20">I32-J32</f>
        <v>48</v>
      </c>
      <c r="M32" s="1">
        <f ca="1">J32*'Data Considered'!$B$11</f>
        <v>0</v>
      </c>
      <c r="N32" s="1">
        <f ca="1">Distributor!P32</f>
        <v>0</v>
      </c>
      <c r="O32" s="1">
        <f ca="1">H32*'Data Considered'!$B$12</f>
        <v>4650</v>
      </c>
      <c r="P32" s="1">
        <f t="shared" ca="1" si="7"/>
        <v>-4890</v>
      </c>
      <c r="Q32" s="1">
        <f ca="1">IF(A32=1,'Data Considered'!$B$18,Manufacturer!Q31+Manufacturer!P32)</f>
        <v>46900</v>
      </c>
      <c r="R32" s="1">
        <f ca="1">J32*'Data Considered'!$D$11</f>
        <v>0</v>
      </c>
      <c r="S32" s="1">
        <f ca="1">L32*'Data Considered'!$B$22</f>
        <v>240</v>
      </c>
      <c r="T32" s="1">
        <f ca="1">K32*'Data Considered'!$B$26</f>
        <v>0</v>
      </c>
      <c r="U32" s="1">
        <f t="shared" ca="1" si="8"/>
        <v>3</v>
      </c>
      <c r="V32" s="1">
        <f ca="1">U32+'Data Considered'!$B$15-0</f>
        <v>5</v>
      </c>
      <c r="W32" s="1">
        <f t="shared" ca="1" si="9"/>
        <v>4650</v>
      </c>
      <c r="X32" s="1">
        <f t="shared" ca="1" si="10"/>
        <v>1800</v>
      </c>
    </row>
    <row r="33" spans="1:24" x14ac:dyDescent="0.3">
      <c r="A33" s="1">
        <f t="shared" si="11"/>
        <v>32</v>
      </c>
      <c r="B33" s="1">
        <f ca="1">Distributor!H32</f>
        <v>0</v>
      </c>
      <c r="C33" s="1">
        <f t="shared" ca="1" si="14"/>
        <v>38</v>
      </c>
      <c r="D33" s="1">
        <f t="shared" ca="1" si="15"/>
        <v>114</v>
      </c>
      <c r="E33" s="1">
        <f t="shared" ca="1" si="16"/>
        <v>0</v>
      </c>
      <c r="F33" s="1">
        <f ca="1">IF(A33=1,'Data Considered'!$B$5,L32+E33)</f>
        <v>48</v>
      </c>
      <c r="G33" s="1">
        <f t="shared" ca="1" si="17"/>
        <v>141</v>
      </c>
      <c r="H33" s="1">
        <f t="shared" ca="1" si="18"/>
        <v>0</v>
      </c>
      <c r="I33" s="1">
        <f t="shared" ca="1" si="4"/>
        <v>48</v>
      </c>
      <c r="J33" s="1">
        <f t="shared" ca="1" si="12"/>
        <v>0</v>
      </c>
      <c r="K33" s="1">
        <f t="shared" ca="1" si="19"/>
        <v>0</v>
      </c>
      <c r="L33" s="1">
        <f t="shared" ca="1" si="20"/>
        <v>48</v>
      </c>
      <c r="M33" s="1">
        <f ca="1">J33*'Data Considered'!$B$11</f>
        <v>0</v>
      </c>
      <c r="N33" s="1">
        <f ca="1">Distributor!P33</f>
        <v>1800</v>
      </c>
      <c r="O33" s="1">
        <f ca="1">H33*'Data Considered'!$B$12</f>
        <v>0</v>
      </c>
      <c r="P33" s="1">
        <f t="shared" ca="1" si="7"/>
        <v>1560</v>
      </c>
      <c r="Q33" s="1">
        <f ca="1">IF(A33=1,'Data Considered'!$B$18,Manufacturer!Q32+Manufacturer!P33)</f>
        <v>48460</v>
      </c>
      <c r="R33" s="1">
        <f ca="1">J33*'Data Considered'!$D$11</f>
        <v>0</v>
      </c>
      <c r="S33" s="1">
        <f ca="1">L33*'Data Considered'!$B$22</f>
        <v>240</v>
      </c>
      <c r="T33" s="1">
        <f ca="1">K33*'Data Considered'!$B$26</f>
        <v>0</v>
      </c>
      <c r="U33" s="1">
        <f t="shared" ca="1" si="8"/>
        <v>3</v>
      </c>
      <c r="V33" s="1">
        <f ca="1">U33+'Data Considered'!$B$15-0</f>
        <v>5</v>
      </c>
      <c r="W33" s="1">
        <f t="shared" ca="1" si="9"/>
        <v>0</v>
      </c>
      <c r="X33" s="1">
        <f t="shared" ca="1" si="10"/>
        <v>7500</v>
      </c>
    </row>
    <row r="34" spans="1:24" x14ac:dyDescent="0.3">
      <c r="A34" s="1">
        <f t="shared" si="11"/>
        <v>33</v>
      </c>
      <c r="B34" s="1">
        <f ca="1">Distributor!H33</f>
        <v>36</v>
      </c>
      <c r="C34" s="1">
        <f t="shared" ca="1" si="14"/>
        <v>0</v>
      </c>
      <c r="D34" s="1">
        <f t="shared" ca="1" si="15"/>
        <v>0</v>
      </c>
      <c r="E34" s="1">
        <f t="shared" ca="1" si="16"/>
        <v>93</v>
      </c>
      <c r="F34" s="1">
        <f ca="1">IF(A34=1,'Data Considered'!$B$5,L33+E34)</f>
        <v>141</v>
      </c>
      <c r="G34" s="1">
        <f t="shared" ca="1" si="17"/>
        <v>141</v>
      </c>
      <c r="H34" s="1">
        <f t="shared" ca="1" si="18"/>
        <v>0</v>
      </c>
      <c r="I34" s="1">
        <f t="shared" ca="1" si="4"/>
        <v>141</v>
      </c>
      <c r="J34" s="1">
        <f t="shared" ca="1" si="12"/>
        <v>36</v>
      </c>
      <c r="K34" s="1">
        <f t="shared" ca="1" si="19"/>
        <v>0</v>
      </c>
      <c r="L34" s="1">
        <f t="shared" ca="1" si="20"/>
        <v>105</v>
      </c>
      <c r="M34" s="1">
        <f ca="1">J34*'Data Considered'!$B$11</f>
        <v>3600</v>
      </c>
      <c r="N34" s="1">
        <f ca="1">Distributor!P34</f>
        <v>7500</v>
      </c>
      <c r="O34" s="1">
        <f ca="1">H34*'Data Considered'!$B$12</f>
        <v>0</v>
      </c>
      <c r="P34" s="1">
        <f t="shared" ca="1" si="7"/>
        <v>6795</v>
      </c>
      <c r="Q34" s="1">
        <f ca="1">IF(A34=1,'Data Considered'!$B$18,Manufacturer!Q33+Manufacturer!P34)</f>
        <v>55255</v>
      </c>
      <c r="R34" s="1">
        <f ca="1">J34*'Data Considered'!$D$11</f>
        <v>180</v>
      </c>
      <c r="S34" s="1">
        <f ca="1">L34*'Data Considered'!$B$22</f>
        <v>525</v>
      </c>
      <c r="T34" s="1">
        <f ca="1">K34*'Data Considered'!$B$26</f>
        <v>0</v>
      </c>
      <c r="U34" s="1">
        <f t="shared" ca="1" si="8"/>
        <v>7</v>
      </c>
      <c r="V34" s="1">
        <f ca="1">U34+'Data Considered'!$B$15-0</f>
        <v>9</v>
      </c>
      <c r="W34" s="1">
        <f t="shared" ca="1" si="9"/>
        <v>180</v>
      </c>
      <c r="X34" s="1">
        <f t="shared" ca="1" si="10"/>
        <v>0</v>
      </c>
    </row>
    <row r="35" spans="1:24" x14ac:dyDescent="0.3">
      <c r="A35" s="1">
        <f t="shared" si="11"/>
        <v>34</v>
      </c>
      <c r="B35" s="1">
        <f ca="1">Distributor!H34</f>
        <v>54</v>
      </c>
      <c r="C35" s="1">
        <f t="shared" ca="1" si="14"/>
        <v>18</v>
      </c>
      <c r="D35" s="1">
        <f t="shared" ca="1" si="15"/>
        <v>54</v>
      </c>
      <c r="E35" s="1">
        <f t="shared" ca="1" si="16"/>
        <v>0</v>
      </c>
      <c r="F35" s="1">
        <f ca="1">IF(A35=1,'Data Considered'!$B$5,L34+E35)</f>
        <v>105</v>
      </c>
      <c r="G35" s="1">
        <f t="shared" ca="1" si="17"/>
        <v>105</v>
      </c>
      <c r="H35" s="1">
        <f t="shared" ca="1" si="18"/>
        <v>0</v>
      </c>
      <c r="I35" s="1">
        <f t="shared" ca="1" si="4"/>
        <v>105</v>
      </c>
      <c r="J35" s="1">
        <f t="shared" ca="1" si="12"/>
        <v>54</v>
      </c>
      <c r="K35" s="1">
        <f t="shared" ca="1" si="19"/>
        <v>0</v>
      </c>
      <c r="L35" s="1">
        <f t="shared" ca="1" si="20"/>
        <v>51</v>
      </c>
      <c r="M35" s="1">
        <f ca="1">J35*'Data Considered'!$B$11</f>
        <v>5400</v>
      </c>
      <c r="N35" s="1">
        <f ca="1">Distributor!P35</f>
        <v>0</v>
      </c>
      <c r="O35" s="1">
        <f ca="1">H35*'Data Considered'!$B$12</f>
        <v>0</v>
      </c>
      <c r="P35" s="1">
        <f t="shared" ca="1" si="7"/>
        <v>-525</v>
      </c>
      <c r="Q35" s="1">
        <f ca="1">IF(A35=1,'Data Considered'!$B$18,Manufacturer!Q34+Manufacturer!P35)</f>
        <v>54730</v>
      </c>
      <c r="R35" s="1">
        <f ca="1">J35*'Data Considered'!$D$11</f>
        <v>270</v>
      </c>
      <c r="S35" s="1">
        <f ca="1">L35*'Data Considered'!$B$22</f>
        <v>255</v>
      </c>
      <c r="T35" s="1">
        <f ca="1">K35*'Data Considered'!$B$26</f>
        <v>0</v>
      </c>
      <c r="U35" s="1">
        <f t="shared" ca="1" si="8"/>
        <v>4</v>
      </c>
      <c r="V35" s="1">
        <f ca="1">U35+'Data Considered'!$B$15-0</f>
        <v>6</v>
      </c>
      <c r="W35" s="1">
        <f t="shared" ca="1" si="9"/>
        <v>270</v>
      </c>
      <c r="X35" s="1">
        <f t="shared" ca="1" si="10"/>
        <v>0</v>
      </c>
    </row>
    <row r="36" spans="1:24" x14ac:dyDescent="0.3">
      <c r="A36" s="1">
        <f t="shared" si="11"/>
        <v>35</v>
      </c>
      <c r="B36" s="1">
        <f ca="1">Distributor!H35</f>
        <v>0</v>
      </c>
      <c r="C36" s="1">
        <f t="shared" ca="1" si="14"/>
        <v>45</v>
      </c>
      <c r="D36" s="1">
        <f t="shared" ca="1" si="15"/>
        <v>135</v>
      </c>
      <c r="E36" s="1">
        <f t="shared" ca="1" si="16"/>
        <v>0</v>
      </c>
      <c r="F36" s="1">
        <f ca="1">IF(A36=1,'Data Considered'!$B$5,L35+E36)</f>
        <v>51</v>
      </c>
      <c r="G36" s="1">
        <f t="shared" ca="1" si="17"/>
        <v>51</v>
      </c>
      <c r="H36" s="1">
        <f t="shared" ca="1" si="18"/>
        <v>84</v>
      </c>
      <c r="I36" s="1">
        <f t="shared" ca="1" si="4"/>
        <v>51</v>
      </c>
      <c r="J36" s="1">
        <f t="shared" ca="1" si="12"/>
        <v>0</v>
      </c>
      <c r="K36" s="1">
        <f t="shared" ca="1" si="19"/>
        <v>0</v>
      </c>
      <c r="L36" s="1">
        <f t="shared" ca="1" si="20"/>
        <v>51</v>
      </c>
      <c r="M36" s="1">
        <f ca="1">J36*'Data Considered'!$B$11</f>
        <v>0</v>
      </c>
      <c r="N36" s="1">
        <f ca="1">Distributor!P36</f>
        <v>0</v>
      </c>
      <c r="O36" s="1">
        <f ca="1">H36*'Data Considered'!$B$12</f>
        <v>4200</v>
      </c>
      <c r="P36" s="1">
        <f t="shared" ca="1" si="7"/>
        <v>-4455</v>
      </c>
      <c r="Q36" s="1">
        <f ca="1">IF(A36=1,'Data Considered'!$B$18,Manufacturer!Q35+Manufacturer!P36)</f>
        <v>50275</v>
      </c>
      <c r="R36" s="1">
        <f ca="1">J36*'Data Considered'!$D$11</f>
        <v>0</v>
      </c>
      <c r="S36" s="1">
        <f ca="1">L36*'Data Considered'!$B$22</f>
        <v>255</v>
      </c>
      <c r="T36" s="1">
        <f ca="1">K36*'Data Considered'!$B$26</f>
        <v>0</v>
      </c>
      <c r="U36" s="1">
        <f t="shared" ca="1" si="8"/>
        <v>4</v>
      </c>
      <c r="V36" s="1">
        <f ca="1">U36+'Data Considered'!$B$15-0</f>
        <v>6</v>
      </c>
      <c r="W36" s="1">
        <f t="shared" ca="1" si="9"/>
        <v>4200</v>
      </c>
      <c r="X36" s="1">
        <f t="shared" ca="1" si="10"/>
        <v>3600</v>
      </c>
    </row>
    <row r="37" spans="1:24" x14ac:dyDescent="0.3">
      <c r="A37" s="1">
        <f t="shared" si="11"/>
        <v>36</v>
      </c>
      <c r="B37" s="1">
        <f ca="1">Distributor!H36</f>
        <v>0</v>
      </c>
      <c r="C37" s="1">
        <f t="shared" ca="1" si="14"/>
        <v>27</v>
      </c>
      <c r="D37" s="1">
        <f t="shared" ca="1" si="15"/>
        <v>81</v>
      </c>
      <c r="E37" s="1">
        <f t="shared" ca="1" si="16"/>
        <v>0</v>
      </c>
      <c r="F37" s="1">
        <f ca="1">IF(A37=1,'Data Considered'!$B$5,L36+E37)</f>
        <v>51</v>
      </c>
      <c r="G37" s="1">
        <f t="shared" ca="1" si="17"/>
        <v>135</v>
      </c>
      <c r="H37" s="1">
        <f t="shared" ca="1" si="18"/>
        <v>0</v>
      </c>
      <c r="I37" s="1">
        <f t="shared" ca="1" si="4"/>
        <v>51</v>
      </c>
      <c r="J37" s="1">
        <f t="shared" ca="1" si="12"/>
        <v>0</v>
      </c>
      <c r="K37" s="1">
        <f t="shared" ca="1" si="19"/>
        <v>0</v>
      </c>
      <c r="L37" s="1">
        <f t="shared" ca="1" si="20"/>
        <v>51</v>
      </c>
      <c r="M37" s="1">
        <f ca="1">J37*'Data Considered'!$B$11</f>
        <v>0</v>
      </c>
      <c r="N37" s="1">
        <f ca="1">Distributor!P37</f>
        <v>3600</v>
      </c>
      <c r="O37" s="1">
        <f ca="1">H37*'Data Considered'!$B$12</f>
        <v>0</v>
      </c>
      <c r="P37" s="1">
        <f t="shared" ca="1" si="7"/>
        <v>3345</v>
      </c>
      <c r="Q37" s="1">
        <f ca="1">IF(A37=1,'Data Considered'!$B$18,Manufacturer!Q36+Manufacturer!P37)</f>
        <v>53620</v>
      </c>
      <c r="R37" s="1">
        <f ca="1">J37*'Data Considered'!$D$11</f>
        <v>0</v>
      </c>
      <c r="S37" s="1">
        <f ca="1">L37*'Data Considered'!$B$22</f>
        <v>255</v>
      </c>
      <c r="T37" s="1">
        <f ca="1">K37*'Data Considered'!$B$26</f>
        <v>0</v>
      </c>
      <c r="U37" s="1">
        <f t="shared" ca="1" si="8"/>
        <v>4</v>
      </c>
      <c r="V37" s="1">
        <f ca="1">U37+'Data Considered'!$B$15-0</f>
        <v>6</v>
      </c>
      <c r="W37" s="1">
        <f t="shared" ca="1" si="9"/>
        <v>0</v>
      </c>
      <c r="X37" s="1">
        <f t="shared" ca="1" si="10"/>
        <v>5400</v>
      </c>
    </row>
    <row r="38" spans="1:24" x14ac:dyDescent="0.3">
      <c r="A38" s="1">
        <f t="shared" si="11"/>
        <v>37</v>
      </c>
      <c r="B38" s="1">
        <f ca="1">Distributor!H37</f>
        <v>0</v>
      </c>
      <c r="C38" s="1">
        <f t="shared" ca="1" si="14"/>
        <v>0</v>
      </c>
      <c r="D38" s="1">
        <f t="shared" ca="1" si="15"/>
        <v>0</v>
      </c>
      <c r="E38" s="1">
        <f t="shared" ca="1" si="16"/>
        <v>84</v>
      </c>
      <c r="F38" s="1">
        <f ca="1">IF(A38=1,'Data Considered'!$B$5,L37+E38)</f>
        <v>135</v>
      </c>
      <c r="G38" s="1">
        <f t="shared" ca="1" si="17"/>
        <v>135</v>
      </c>
      <c r="H38" s="1">
        <f t="shared" ca="1" si="18"/>
        <v>0</v>
      </c>
      <c r="I38" s="1">
        <f t="shared" ca="1" si="4"/>
        <v>135</v>
      </c>
      <c r="J38" s="1">
        <f t="shared" ca="1" si="12"/>
        <v>0</v>
      </c>
      <c r="K38" s="1">
        <f t="shared" ca="1" si="19"/>
        <v>0</v>
      </c>
      <c r="L38" s="1">
        <f t="shared" ca="1" si="20"/>
        <v>135</v>
      </c>
      <c r="M38" s="1">
        <f ca="1">J38*'Data Considered'!$B$11</f>
        <v>0</v>
      </c>
      <c r="N38" s="1">
        <f ca="1">Distributor!P38</f>
        <v>5400</v>
      </c>
      <c r="O38" s="1">
        <f ca="1">H38*'Data Considered'!$B$12</f>
        <v>0</v>
      </c>
      <c r="P38" s="1">
        <f t="shared" ca="1" si="7"/>
        <v>4725</v>
      </c>
      <c r="Q38" s="1">
        <f ca="1">IF(A38=1,'Data Considered'!$B$18,Manufacturer!Q37+Manufacturer!P38)</f>
        <v>58345</v>
      </c>
      <c r="R38" s="1">
        <f ca="1">J38*'Data Considered'!$D$11</f>
        <v>0</v>
      </c>
      <c r="S38" s="1">
        <f ca="1">L38*'Data Considered'!$B$22</f>
        <v>675</v>
      </c>
      <c r="T38" s="1">
        <f ca="1">K38*'Data Considered'!$B$26</f>
        <v>0</v>
      </c>
      <c r="U38" s="1">
        <f t="shared" ca="1" si="8"/>
        <v>9</v>
      </c>
      <c r="V38" s="1">
        <f ca="1">U38+'Data Considered'!$B$15-0</f>
        <v>11</v>
      </c>
      <c r="W38" s="1">
        <f t="shared" ca="1" si="9"/>
        <v>0</v>
      </c>
      <c r="X38" s="1">
        <f t="shared" ca="1" si="10"/>
        <v>0</v>
      </c>
    </row>
    <row r="39" spans="1:24" x14ac:dyDescent="0.3">
      <c r="A39" s="1">
        <f t="shared" si="11"/>
        <v>38</v>
      </c>
      <c r="B39" s="1">
        <f ca="1">Distributor!H38</f>
        <v>0</v>
      </c>
      <c r="C39" s="1">
        <f t="shared" ca="1" si="14"/>
        <v>0</v>
      </c>
      <c r="D39" s="1">
        <f t="shared" ca="1" si="15"/>
        <v>0</v>
      </c>
      <c r="E39" s="1">
        <f t="shared" ca="1" si="16"/>
        <v>0</v>
      </c>
      <c r="F39" s="1">
        <f ca="1">IF(A39=1,'Data Considered'!$B$5,L38+E39)</f>
        <v>135</v>
      </c>
      <c r="G39" s="1">
        <f t="shared" ca="1" si="17"/>
        <v>135</v>
      </c>
      <c r="H39" s="1">
        <f t="shared" ca="1" si="18"/>
        <v>0</v>
      </c>
      <c r="I39" s="1">
        <f t="shared" ca="1" si="4"/>
        <v>135</v>
      </c>
      <c r="J39" s="1">
        <f t="shared" ca="1" si="12"/>
        <v>0</v>
      </c>
      <c r="K39" s="1">
        <f t="shared" ca="1" si="19"/>
        <v>0</v>
      </c>
      <c r="L39" s="1">
        <f t="shared" ca="1" si="20"/>
        <v>135</v>
      </c>
      <c r="M39" s="1">
        <f ca="1">J39*'Data Considered'!$B$11</f>
        <v>0</v>
      </c>
      <c r="N39" s="1">
        <f ca="1">Distributor!P39</f>
        <v>0</v>
      </c>
      <c r="O39" s="1">
        <f ca="1">H39*'Data Considered'!$B$12</f>
        <v>0</v>
      </c>
      <c r="P39" s="1">
        <f t="shared" ca="1" si="7"/>
        <v>-675</v>
      </c>
      <c r="Q39" s="1">
        <f ca="1">IF(A39=1,'Data Considered'!$B$18,Manufacturer!Q38+Manufacturer!P39)</f>
        <v>57670</v>
      </c>
      <c r="R39" s="1">
        <f ca="1">J39*'Data Considered'!$D$11</f>
        <v>0</v>
      </c>
      <c r="S39" s="1">
        <f ca="1">L39*'Data Considered'!$B$22</f>
        <v>675</v>
      </c>
      <c r="T39" s="1">
        <f ca="1">K39*'Data Considered'!$B$26</f>
        <v>0</v>
      </c>
      <c r="U39" s="1">
        <f t="shared" ca="1" si="8"/>
        <v>9</v>
      </c>
      <c r="V39" s="1">
        <f ca="1">U39+'Data Considered'!$B$15-0</f>
        <v>11</v>
      </c>
      <c r="W39" s="1">
        <f t="shared" ca="1" si="9"/>
        <v>0</v>
      </c>
      <c r="X39" s="1">
        <f t="shared" ca="1" si="10"/>
        <v>0</v>
      </c>
    </row>
    <row r="40" spans="1:24" x14ac:dyDescent="0.3">
      <c r="A40" s="1">
        <f t="shared" si="11"/>
        <v>39</v>
      </c>
      <c r="B40" s="1">
        <f ca="1">Distributor!H39</f>
        <v>12</v>
      </c>
      <c r="C40" s="1">
        <f t="shared" ca="1" si="14"/>
        <v>0</v>
      </c>
      <c r="D40" s="1">
        <f t="shared" ca="1" si="15"/>
        <v>0</v>
      </c>
      <c r="E40" s="1">
        <f t="shared" ca="1" si="16"/>
        <v>0</v>
      </c>
      <c r="F40" s="1">
        <f ca="1">IF(A40=1,'Data Considered'!$B$5,L39+E40)</f>
        <v>135</v>
      </c>
      <c r="G40" s="1">
        <f t="shared" ca="1" si="17"/>
        <v>135</v>
      </c>
      <c r="H40" s="1">
        <f t="shared" ca="1" si="18"/>
        <v>0</v>
      </c>
      <c r="I40" s="1">
        <f t="shared" ca="1" si="4"/>
        <v>135</v>
      </c>
      <c r="J40" s="1">
        <f t="shared" ca="1" si="12"/>
        <v>12</v>
      </c>
      <c r="K40" s="1">
        <f t="shared" ca="1" si="19"/>
        <v>0</v>
      </c>
      <c r="L40" s="1">
        <f t="shared" ca="1" si="20"/>
        <v>123</v>
      </c>
      <c r="M40" s="1">
        <f ca="1">J40*'Data Considered'!$B$11</f>
        <v>1200</v>
      </c>
      <c r="N40" s="1">
        <f ca="1">Distributor!P40</f>
        <v>0</v>
      </c>
      <c r="O40" s="1">
        <f ca="1">H40*'Data Considered'!$B$12</f>
        <v>0</v>
      </c>
      <c r="P40" s="1">
        <f t="shared" ca="1" si="7"/>
        <v>-675</v>
      </c>
      <c r="Q40" s="1">
        <f ca="1">IF(A40=1,'Data Considered'!$B$18,Manufacturer!Q39+Manufacturer!P40)</f>
        <v>56995</v>
      </c>
      <c r="R40" s="1">
        <f ca="1">J40*'Data Considered'!$D$11</f>
        <v>60</v>
      </c>
      <c r="S40" s="1">
        <f ca="1">L40*'Data Considered'!$B$22</f>
        <v>615</v>
      </c>
      <c r="T40" s="1">
        <f ca="1">K40*'Data Considered'!$B$26</f>
        <v>0</v>
      </c>
      <c r="U40" s="1">
        <f t="shared" ca="1" si="8"/>
        <v>8</v>
      </c>
      <c r="V40" s="1">
        <f ca="1">U40+'Data Considered'!$B$15-0</f>
        <v>10</v>
      </c>
      <c r="W40" s="1">
        <f t="shared" ca="1" si="9"/>
        <v>60</v>
      </c>
      <c r="X40" s="1">
        <f t="shared" ca="1" si="10"/>
        <v>0</v>
      </c>
    </row>
    <row r="41" spans="1:24" x14ac:dyDescent="0.3">
      <c r="A41" s="1">
        <f t="shared" si="11"/>
        <v>40</v>
      </c>
      <c r="B41" s="1">
        <f ca="1">Distributor!H40</f>
        <v>0</v>
      </c>
      <c r="C41" s="1">
        <f t="shared" ca="1" si="14"/>
        <v>6</v>
      </c>
      <c r="D41" s="1">
        <f t="shared" ca="1" si="15"/>
        <v>18</v>
      </c>
      <c r="E41" s="1">
        <f t="shared" ca="1" si="16"/>
        <v>0</v>
      </c>
      <c r="F41" s="1">
        <f ca="1">IF(A41=1,'Data Considered'!$B$5,L40+E41)</f>
        <v>123</v>
      </c>
      <c r="G41" s="1">
        <f t="shared" ca="1" si="17"/>
        <v>123</v>
      </c>
      <c r="H41" s="1">
        <f t="shared" ca="1" si="18"/>
        <v>0</v>
      </c>
      <c r="I41" s="1">
        <f t="shared" ca="1" si="4"/>
        <v>123</v>
      </c>
      <c r="J41" s="1">
        <f t="shared" ca="1" si="12"/>
        <v>0</v>
      </c>
      <c r="K41" s="1">
        <f t="shared" ca="1" si="19"/>
        <v>0</v>
      </c>
      <c r="L41" s="1">
        <f t="shared" ca="1" si="20"/>
        <v>123</v>
      </c>
      <c r="M41" s="1">
        <f ca="1">J41*'Data Considered'!$B$11</f>
        <v>0</v>
      </c>
      <c r="N41" s="1">
        <f ca="1">Distributor!P41</f>
        <v>0</v>
      </c>
      <c r="O41" s="1">
        <f ca="1">H41*'Data Considered'!$B$12</f>
        <v>0</v>
      </c>
      <c r="P41" s="1">
        <f t="shared" ca="1" si="7"/>
        <v>-615</v>
      </c>
      <c r="Q41" s="1">
        <f ca="1">IF(A41=1,'Data Considered'!$B$18,Manufacturer!Q40+Manufacturer!P41)</f>
        <v>56380</v>
      </c>
      <c r="R41" s="1">
        <f ca="1">J41*'Data Considered'!$D$11</f>
        <v>0</v>
      </c>
      <c r="S41" s="1">
        <f ca="1">L41*'Data Considered'!$B$22</f>
        <v>615</v>
      </c>
      <c r="T41" s="1">
        <f ca="1">K41*'Data Considered'!$B$26</f>
        <v>0</v>
      </c>
      <c r="U41" s="1">
        <f t="shared" ca="1" si="8"/>
        <v>8</v>
      </c>
      <c r="V41" s="1">
        <f ca="1">U41+'Data Considered'!$B$15-0</f>
        <v>10</v>
      </c>
      <c r="W41" s="1">
        <f t="shared" ca="1" si="9"/>
        <v>0</v>
      </c>
      <c r="X41" s="1">
        <f t="shared" ca="1" si="10"/>
        <v>0</v>
      </c>
    </row>
    <row r="42" spans="1:24" x14ac:dyDescent="0.3">
      <c r="A42" s="1">
        <f t="shared" si="11"/>
        <v>41</v>
      </c>
      <c r="B42" s="1">
        <f ca="1">Distributor!H41</f>
        <v>0</v>
      </c>
      <c r="C42" s="1">
        <f t="shared" ca="1" si="14"/>
        <v>6</v>
      </c>
      <c r="D42" s="1">
        <f t="shared" ca="1" si="15"/>
        <v>18</v>
      </c>
      <c r="E42" s="1">
        <f t="shared" ca="1" si="16"/>
        <v>0</v>
      </c>
      <c r="F42" s="1">
        <f ca="1">IF(A42=1,'Data Considered'!$B$5,L41+E42)</f>
        <v>123</v>
      </c>
      <c r="G42" s="1">
        <f t="shared" ca="1" si="17"/>
        <v>123</v>
      </c>
      <c r="H42" s="1">
        <f t="shared" ca="1" si="18"/>
        <v>0</v>
      </c>
      <c r="I42" s="1">
        <f t="shared" ca="1" si="4"/>
        <v>123</v>
      </c>
      <c r="J42" s="1">
        <f t="shared" ca="1" si="12"/>
        <v>0</v>
      </c>
      <c r="K42" s="1">
        <f t="shared" ca="1" si="19"/>
        <v>0</v>
      </c>
      <c r="L42" s="1">
        <f t="shared" ca="1" si="20"/>
        <v>123</v>
      </c>
      <c r="M42" s="1">
        <f ca="1">J42*'Data Considered'!$B$11</f>
        <v>0</v>
      </c>
      <c r="N42" s="1">
        <f ca="1">Distributor!P42</f>
        <v>0</v>
      </c>
      <c r="O42" s="1">
        <f ca="1">H42*'Data Considered'!$B$12</f>
        <v>0</v>
      </c>
      <c r="P42" s="1">
        <f t="shared" ca="1" si="7"/>
        <v>-615</v>
      </c>
      <c r="Q42" s="1">
        <f ca="1">IF(A42=1,'Data Considered'!$B$18,Manufacturer!Q41+Manufacturer!P42)</f>
        <v>55765</v>
      </c>
      <c r="R42" s="1">
        <f ca="1">J42*'Data Considered'!$D$11</f>
        <v>0</v>
      </c>
      <c r="S42" s="1">
        <f ca="1">L42*'Data Considered'!$B$22</f>
        <v>615</v>
      </c>
      <c r="T42" s="1">
        <f ca="1">K42*'Data Considered'!$B$26</f>
        <v>0</v>
      </c>
      <c r="U42" s="1">
        <f t="shared" ca="1" si="8"/>
        <v>8</v>
      </c>
      <c r="V42" s="1">
        <f ca="1">U42+'Data Considered'!$B$15-0</f>
        <v>10</v>
      </c>
      <c r="W42" s="1">
        <f t="shared" ca="1" si="9"/>
        <v>0</v>
      </c>
      <c r="X42" s="1">
        <f t="shared" ca="1" si="10"/>
        <v>1200</v>
      </c>
    </row>
    <row r="43" spans="1:24" x14ac:dyDescent="0.3">
      <c r="A43" s="1">
        <f t="shared" si="11"/>
        <v>42</v>
      </c>
      <c r="B43" s="1">
        <f ca="1">Distributor!H42</f>
        <v>1</v>
      </c>
      <c r="C43" s="1">
        <f t="shared" ca="1" si="14"/>
        <v>0</v>
      </c>
      <c r="D43" s="1">
        <f t="shared" ca="1" si="15"/>
        <v>0</v>
      </c>
      <c r="E43" s="1">
        <f t="shared" ca="1" si="16"/>
        <v>0</v>
      </c>
      <c r="F43" s="1">
        <f ca="1">IF(A43=1,'Data Considered'!$B$5,L42+E43)</f>
        <v>123</v>
      </c>
      <c r="G43" s="1">
        <f t="shared" ca="1" si="17"/>
        <v>123</v>
      </c>
      <c r="H43" s="1">
        <f t="shared" ca="1" si="18"/>
        <v>0</v>
      </c>
      <c r="I43" s="1">
        <f t="shared" ca="1" si="4"/>
        <v>123</v>
      </c>
      <c r="J43" s="1">
        <f t="shared" ca="1" si="12"/>
        <v>1</v>
      </c>
      <c r="K43" s="1">
        <f t="shared" ca="1" si="19"/>
        <v>0</v>
      </c>
      <c r="L43" s="1">
        <f t="shared" ca="1" si="20"/>
        <v>122</v>
      </c>
      <c r="M43" s="1">
        <f ca="1">J43*'Data Considered'!$B$11</f>
        <v>100</v>
      </c>
      <c r="N43" s="1">
        <f ca="1">Distributor!P43</f>
        <v>1200</v>
      </c>
      <c r="O43" s="1">
        <f ca="1">H43*'Data Considered'!$B$12</f>
        <v>0</v>
      </c>
      <c r="P43" s="1">
        <f t="shared" ca="1" si="7"/>
        <v>585</v>
      </c>
      <c r="Q43" s="1">
        <f ca="1">IF(A43=1,'Data Considered'!$B$18,Manufacturer!Q42+Manufacturer!P43)</f>
        <v>56350</v>
      </c>
      <c r="R43" s="1">
        <f ca="1">J43*'Data Considered'!$D$11</f>
        <v>5</v>
      </c>
      <c r="S43" s="1">
        <f ca="1">L43*'Data Considered'!$B$22</f>
        <v>610</v>
      </c>
      <c r="T43" s="1">
        <f ca="1">K43*'Data Considered'!$B$26</f>
        <v>0</v>
      </c>
      <c r="U43" s="1">
        <f t="shared" ca="1" si="8"/>
        <v>8</v>
      </c>
      <c r="V43" s="1">
        <f ca="1">U43+'Data Considered'!$B$15-0</f>
        <v>10</v>
      </c>
      <c r="W43" s="1">
        <f t="shared" ca="1" si="9"/>
        <v>5</v>
      </c>
      <c r="X43" s="1">
        <f t="shared" ca="1" si="10"/>
        <v>0</v>
      </c>
    </row>
    <row r="44" spans="1:24" x14ac:dyDescent="0.3">
      <c r="A44" s="1">
        <f t="shared" si="11"/>
        <v>43</v>
      </c>
      <c r="B44" s="1">
        <f ca="1">Distributor!H43</f>
        <v>41</v>
      </c>
      <c r="C44" s="1">
        <f t="shared" ca="1" si="14"/>
        <v>1</v>
      </c>
      <c r="D44" s="1">
        <f t="shared" ca="1" si="15"/>
        <v>3</v>
      </c>
      <c r="E44" s="1">
        <f t="shared" ca="1" si="16"/>
        <v>0</v>
      </c>
      <c r="F44" s="1">
        <f ca="1">IF(A44=1,'Data Considered'!$B$5,L43+E44)</f>
        <v>122</v>
      </c>
      <c r="G44" s="1">
        <f t="shared" ca="1" si="17"/>
        <v>122</v>
      </c>
      <c r="H44" s="1">
        <f t="shared" ca="1" si="18"/>
        <v>0</v>
      </c>
      <c r="I44" s="1">
        <f t="shared" ca="1" si="4"/>
        <v>122</v>
      </c>
      <c r="J44" s="1">
        <f t="shared" ca="1" si="12"/>
        <v>41</v>
      </c>
      <c r="K44" s="1">
        <f t="shared" ca="1" si="19"/>
        <v>0</v>
      </c>
      <c r="L44" s="1">
        <f t="shared" ca="1" si="20"/>
        <v>81</v>
      </c>
      <c r="M44" s="1">
        <f ca="1">J44*'Data Considered'!$B$11</f>
        <v>4100</v>
      </c>
      <c r="N44" s="1">
        <f ca="1">Distributor!P44</f>
        <v>0</v>
      </c>
      <c r="O44" s="1">
        <f ca="1">H44*'Data Considered'!$B$12</f>
        <v>0</v>
      </c>
      <c r="P44" s="1">
        <f t="shared" ca="1" si="7"/>
        <v>-610</v>
      </c>
      <c r="Q44" s="1">
        <f ca="1">IF(A44=1,'Data Considered'!$B$18,Manufacturer!Q43+Manufacturer!P44)</f>
        <v>55740</v>
      </c>
      <c r="R44" s="1">
        <f ca="1">J44*'Data Considered'!$D$11</f>
        <v>205</v>
      </c>
      <c r="S44" s="1">
        <f ca="1">L44*'Data Considered'!$B$22</f>
        <v>405</v>
      </c>
      <c r="T44" s="1">
        <f ca="1">K44*'Data Considered'!$B$26</f>
        <v>0</v>
      </c>
      <c r="U44" s="1">
        <f t="shared" ca="1" si="8"/>
        <v>5</v>
      </c>
      <c r="V44" s="1">
        <f ca="1">U44+'Data Considered'!$B$15-0</f>
        <v>7</v>
      </c>
      <c r="W44" s="1">
        <f t="shared" ca="1" si="9"/>
        <v>205</v>
      </c>
      <c r="X44" s="1">
        <f t="shared" ca="1" si="10"/>
        <v>0</v>
      </c>
    </row>
    <row r="45" spans="1:24" x14ac:dyDescent="0.3">
      <c r="A45" s="1">
        <f t="shared" si="11"/>
        <v>44</v>
      </c>
      <c r="B45" s="1">
        <f ca="1">Distributor!H44</f>
        <v>42</v>
      </c>
      <c r="C45" s="1">
        <f t="shared" ca="1" si="14"/>
        <v>21</v>
      </c>
      <c r="D45" s="1">
        <f t="shared" ca="1" si="15"/>
        <v>63</v>
      </c>
      <c r="E45" s="1">
        <f t="shared" ca="1" si="16"/>
        <v>0</v>
      </c>
      <c r="F45" s="1">
        <f ca="1">IF(A45=1,'Data Considered'!$B$5,L44+E45)</f>
        <v>81</v>
      </c>
      <c r="G45" s="1">
        <f t="shared" ca="1" si="17"/>
        <v>81</v>
      </c>
      <c r="H45" s="1">
        <f t="shared" ca="1" si="18"/>
        <v>0</v>
      </c>
      <c r="I45" s="1">
        <f t="shared" ca="1" si="4"/>
        <v>81</v>
      </c>
      <c r="J45" s="1">
        <f t="shared" ca="1" si="12"/>
        <v>42</v>
      </c>
      <c r="K45" s="1">
        <f t="shared" ca="1" si="19"/>
        <v>0</v>
      </c>
      <c r="L45" s="1">
        <f t="shared" ca="1" si="20"/>
        <v>39</v>
      </c>
      <c r="M45" s="1">
        <f ca="1">J45*'Data Considered'!$B$11</f>
        <v>4200</v>
      </c>
      <c r="N45" s="1">
        <f ca="1">Distributor!P45</f>
        <v>0</v>
      </c>
      <c r="O45" s="1">
        <f ca="1">H45*'Data Considered'!$B$12</f>
        <v>0</v>
      </c>
      <c r="P45" s="1">
        <f t="shared" ca="1" si="7"/>
        <v>-405</v>
      </c>
      <c r="Q45" s="1">
        <f ca="1">IF(A45=1,'Data Considered'!$B$18,Manufacturer!Q44+Manufacturer!P45)</f>
        <v>55335</v>
      </c>
      <c r="R45" s="1">
        <f ca="1">J45*'Data Considered'!$D$11</f>
        <v>210</v>
      </c>
      <c r="S45" s="1">
        <f ca="1">L45*'Data Considered'!$B$22</f>
        <v>195</v>
      </c>
      <c r="T45" s="1">
        <f ca="1">K45*'Data Considered'!$B$26</f>
        <v>0</v>
      </c>
      <c r="U45" s="1">
        <f t="shared" ca="1" si="8"/>
        <v>3</v>
      </c>
      <c r="V45" s="1">
        <f ca="1">U45+'Data Considered'!$B$15-0</f>
        <v>5</v>
      </c>
      <c r="W45" s="1">
        <f t="shared" ca="1" si="9"/>
        <v>210</v>
      </c>
      <c r="X45" s="1">
        <f t="shared" ca="1" si="10"/>
        <v>100</v>
      </c>
    </row>
    <row r="46" spans="1:24" x14ac:dyDescent="0.3">
      <c r="A46" s="1">
        <f t="shared" si="11"/>
        <v>45</v>
      </c>
      <c r="B46" s="1">
        <f ca="1">Distributor!H45</f>
        <v>0</v>
      </c>
      <c r="C46" s="1">
        <f t="shared" ca="1" si="14"/>
        <v>42</v>
      </c>
      <c r="D46" s="1">
        <f t="shared" ca="1" si="15"/>
        <v>126</v>
      </c>
      <c r="E46" s="1">
        <f t="shared" ca="1" si="16"/>
        <v>0</v>
      </c>
      <c r="F46" s="1">
        <f ca="1">IF(A46=1,'Data Considered'!$B$5,L45+E46)</f>
        <v>39</v>
      </c>
      <c r="G46" s="1">
        <f t="shared" ca="1" si="17"/>
        <v>39</v>
      </c>
      <c r="H46" s="1">
        <f t="shared" ca="1" si="18"/>
        <v>87</v>
      </c>
      <c r="I46" s="1">
        <f t="shared" ca="1" si="4"/>
        <v>39</v>
      </c>
      <c r="J46" s="1">
        <f t="shared" ca="1" si="12"/>
        <v>0</v>
      </c>
      <c r="K46" s="1">
        <f t="shared" ca="1" si="19"/>
        <v>0</v>
      </c>
      <c r="L46" s="1">
        <f t="shared" ca="1" si="20"/>
        <v>39</v>
      </c>
      <c r="M46" s="1">
        <f ca="1">J46*'Data Considered'!$B$11</f>
        <v>0</v>
      </c>
      <c r="N46" s="1">
        <f ca="1">Distributor!P46</f>
        <v>100</v>
      </c>
      <c r="O46" s="1">
        <f ca="1">H46*'Data Considered'!$B$12</f>
        <v>4350</v>
      </c>
      <c r="P46" s="1">
        <f t="shared" ca="1" si="7"/>
        <v>-4445</v>
      </c>
      <c r="Q46" s="1">
        <f ca="1">IF(A46=1,'Data Considered'!$B$18,Manufacturer!Q45+Manufacturer!P46)</f>
        <v>50890</v>
      </c>
      <c r="R46" s="1">
        <f ca="1">J46*'Data Considered'!$D$11</f>
        <v>0</v>
      </c>
      <c r="S46" s="1">
        <f ca="1">L46*'Data Considered'!$B$22</f>
        <v>195</v>
      </c>
      <c r="T46" s="1">
        <f ca="1">K46*'Data Considered'!$B$26</f>
        <v>0</v>
      </c>
      <c r="U46" s="1">
        <f t="shared" ca="1" si="8"/>
        <v>3</v>
      </c>
      <c r="V46" s="1">
        <f ca="1">U46+'Data Considered'!$B$15-0</f>
        <v>5</v>
      </c>
      <c r="W46" s="1">
        <f t="shared" ca="1" si="9"/>
        <v>4350</v>
      </c>
      <c r="X46" s="1">
        <f t="shared" ca="1" si="10"/>
        <v>4100</v>
      </c>
    </row>
    <row r="47" spans="1:24" x14ac:dyDescent="0.3">
      <c r="A47" s="1">
        <f t="shared" si="11"/>
        <v>46</v>
      </c>
      <c r="B47" s="1">
        <f ca="1">Distributor!H46</f>
        <v>0</v>
      </c>
      <c r="C47" s="1">
        <f t="shared" ca="1" si="14"/>
        <v>21</v>
      </c>
      <c r="D47" s="1">
        <f t="shared" ca="1" si="15"/>
        <v>63</v>
      </c>
      <c r="E47" s="1">
        <f t="shared" ca="1" si="16"/>
        <v>0</v>
      </c>
      <c r="F47" s="1">
        <f ca="1">IF(A47=1,'Data Considered'!$B$5,L46+E47)</f>
        <v>39</v>
      </c>
      <c r="G47" s="1">
        <f t="shared" ca="1" si="17"/>
        <v>126</v>
      </c>
      <c r="H47" s="1">
        <f t="shared" ca="1" si="18"/>
        <v>0</v>
      </c>
      <c r="I47" s="1">
        <f t="shared" ca="1" si="4"/>
        <v>39</v>
      </c>
      <c r="J47" s="1">
        <f t="shared" ca="1" si="12"/>
        <v>0</v>
      </c>
      <c r="K47" s="1">
        <f t="shared" ca="1" si="19"/>
        <v>0</v>
      </c>
      <c r="L47" s="1">
        <f t="shared" ca="1" si="20"/>
        <v>39</v>
      </c>
      <c r="M47" s="1">
        <f ca="1">J47*'Data Considered'!$B$11</f>
        <v>0</v>
      </c>
      <c r="N47" s="1">
        <f ca="1">Distributor!P47</f>
        <v>4100</v>
      </c>
      <c r="O47" s="1">
        <f ca="1">H47*'Data Considered'!$B$12</f>
        <v>0</v>
      </c>
      <c r="P47" s="1">
        <f t="shared" ca="1" si="7"/>
        <v>3905</v>
      </c>
      <c r="Q47" s="1">
        <f ca="1">IF(A47=1,'Data Considered'!$B$18,Manufacturer!Q46+Manufacturer!P47)</f>
        <v>54795</v>
      </c>
      <c r="R47" s="1">
        <f ca="1">J47*'Data Considered'!$D$11</f>
        <v>0</v>
      </c>
      <c r="S47" s="1">
        <f ca="1">L47*'Data Considered'!$B$22</f>
        <v>195</v>
      </c>
      <c r="T47" s="1">
        <f ca="1">K47*'Data Considered'!$B$26</f>
        <v>0</v>
      </c>
      <c r="U47" s="1">
        <f t="shared" ca="1" si="8"/>
        <v>3</v>
      </c>
      <c r="V47" s="1">
        <f ca="1">U47+'Data Considered'!$B$15-0</f>
        <v>5</v>
      </c>
      <c r="W47" s="1">
        <f t="shared" ca="1" si="9"/>
        <v>0</v>
      </c>
      <c r="X47" s="1">
        <f t="shared" ca="1" si="10"/>
        <v>4200</v>
      </c>
    </row>
    <row r="48" spans="1:24" x14ac:dyDescent="0.3">
      <c r="A48" s="1">
        <f t="shared" si="11"/>
        <v>47</v>
      </c>
      <c r="B48" s="1">
        <f ca="1">Distributor!H47</f>
        <v>12</v>
      </c>
      <c r="C48" s="1">
        <f t="shared" ca="1" si="14"/>
        <v>0</v>
      </c>
      <c r="D48" s="1">
        <f t="shared" ca="1" si="15"/>
        <v>0</v>
      </c>
      <c r="E48" s="1">
        <f t="shared" ca="1" si="16"/>
        <v>87</v>
      </c>
      <c r="F48" s="1">
        <f ca="1">IF(A48=1,'Data Considered'!$B$5,L47+E48)</f>
        <v>126</v>
      </c>
      <c r="G48" s="1">
        <f t="shared" ca="1" si="17"/>
        <v>126</v>
      </c>
      <c r="H48" s="1">
        <f t="shared" ca="1" si="18"/>
        <v>0</v>
      </c>
      <c r="I48" s="1">
        <f t="shared" ca="1" si="4"/>
        <v>126</v>
      </c>
      <c r="J48" s="1">
        <f t="shared" ca="1" si="12"/>
        <v>12</v>
      </c>
      <c r="K48" s="1">
        <f t="shared" ca="1" si="19"/>
        <v>0</v>
      </c>
      <c r="L48" s="1">
        <f t="shared" ca="1" si="20"/>
        <v>114</v>
      </c>
      <c r="M48" s="1">
        <f ca="1">J48*'Data Considered'!$B$11</f>
        <v>1200</v>
      </c>
      <c r="N48" s="1">
        <f ca="1">Distributor!P48</f>
        <v>4200</v>
      </c>
      <c r="O48" s="1">
        <f ca="1">H48*'Data Considered'!$B$12</f>
        <v>0</v>
      </c>
      <c r="P48" s="1">
        <f t="shared" ca="1" si="7"/>
        <v>3570</v>
      </c>
      <c r="Q48" s="1">
        <f ca="1">IF(A48=1,'Data Considered'!$B$18,Manufacturer!Q47+Manufacturer!P48)</f>
        <v>58365</v>
      </c>
      <c r="R48" s="1">
        <f ca="1">J48*'Data Considered'!$D$11</f>
        <v>60</v>
      </c>
      <c r="S48" s="1">
        <f ca="1">L48*'Data Considered'!$B$22</f>
        <v>570</v>
      </c>
      <c r="T48" s="1">
        <f ca="1">K48*'Data Considered'!$B$26</f>
        <v>0</v>
      </c>
      <c r="U48" s="1">
        <f t="shared" ca="1" si="8"/>
        <v>7</v>
      </c>
      <c r="V48" s="1">
        <f ca="1">U48+'Data Considered'!$B$15-0</f>
        <v>9</v>
      </c>
      <c r="W48" s="1">
        <f t="shared" ca="1" si="9"/>
        <v>60</v>
      </c>
      <c r="X48" s="1">
        <f t="shared" ca="1" si="10"/>
        <v>0</v>
      </c>
    </row>
    <row r="49" spans="1:24" x14ac:dyDescent="0.3">
      <c r="A49" s="1">
        <f t="shared" si="11"/>
        <v>48</v>
      </c>
      <c r="B49" s="1">
        <f ca="1">Distributor!H48</f>
        <v>46</v>
      </c>
      <c r="C49" s="1">
        <f t="shared" ca="1" si="14"/>
        <v>6</v>
      </c>
      <c r="D49" s="1">
        <f t="shared" ca="1" si="15"/>
        <v>18</v>
      </c>
      <c r="E49" s="1">
        <f t="shared" ca="1" si="16"/>
        <v>0</v>
      </c>
      <c r="F49" s="1">
        <f ca="1">IF(A49=1,'Data Considered'!$B$5,L48+E49)</f>
        <v>114</v>
      </c>
      <c r="G49" s="1">
        <f t="shared" ca="1" si="17"/>
        <v>114</v>
      </c>
      <c r="H49" s="1">
        <f t="shared" ca="1" si="18"/>
        <v>0</v>
      </c>
      <c r="I49" s="1">
        <f t="shared" ca="1" si="4"/>
        <v>114</v>
      </c>
      <c r="J49" s="1">
        <f t="shared" ca="1" si="12"/>
        <v>46</v>
      </c>
      <c r="K49" s="1">
        <f t="shared" ca="1" si="19"/>
        <v>0</v>
      </c>
      <c r="L49" s="1">
        <f t="shared" ca="1" si="20"/>
        <v>68</v>
      </c>
      <c r="M49" s="1">
        <f ca="1">J49*'Data Considered'!$B$11</f>
        <v>4600</v>
      </c>
      <c r="N49" s="1">
        <f ca="1">Distributor!P49</f>
        <v>0</v>
      </c>
      <c r="O49" s="1">
        <f ca="1">H49*'Data Considered'!$B$12</f>
        <v>0</v>
      </c>
      <c r="P49" s="1">
        <f t="shared" ca="1" si="7"/>
        <v>-570</v>
      </c>
      <c r="Q49" s="1">
        <f ca="1">IF(A49=1,'Data Considered'!$B$18,Manufacturer!Q48+Manufacturer!P49)</f>
        <v>57795</v>
      </c>
      <c r="R49" s="1">
        <f ca="1">J49*'Data Considered'!$D$11</f>
        <v>230</v>
      </c>
      <c r="S49" s="1">
        <f ca="1">L49*'Data Considered'!$B$22</f>
        <v>340</v>
      </c>
      <c r="T49" s="1">
        <f ca="1">K49*'Data Considered'!$B$26</f>
        <v>0</v>
      </c>
      <c r="U49" s="1">
        <f t="shared" ca="1" si="8"/>
        <v>5</v>
      </c>
      <c r="V49" s="1">
        <f ca="1">U49+'Data Considered'!$B$15-0</f>
        <v>7</v>
      </c>
      <c r="W49" s="1">
        <f t="shared" ca="1" si="9"/>
        <v>230</v>
      </c>
      <c r="X49" s="1">
        <f t="shared" ca="1" si="10"/>
        <v>0</v>
      </c>
    </row>
    <row r="50" spans="1:24" x14ac:dyDescent="0.3">
      <c r="A50" s="1">
        <f t="shared" si="11"/>
        <v>49</v>
      </c>
      <c r="B50" s="1">
        <f ca="1">Distributor!H49</f>
        <v>0</v>
      </c>
      <c r="C50" s="1">
        <f t="shared" ca="1" si="14"/>
        <v>29</v>
      </c>
      <c r="D50" s="1">
        <f t="shared" ca="1" si="15"/>
        <v>87</v>
      </c>
      <c r="E50" s="1">
        <f t="shared" ca="1" si="16"/>
        <v>0</v>
      </c>
      <c r="F50" s="1">
        <f ca="1">IF(A50=1,'Data Considered'!$B$5,L49+E50)</f>
        <v>68</v>
      </c>
      <c r="G50" s="1">
        <f t="shared" ca="1" si="17"/>
        <v>68</v>
      </c>
      <c r="H50" s="1">
        <f t="shared" ca="1" si="18"/>
        <v>19</v>
      </c>
      <c r="I50" s="1">
        <f t="shared" ca="1" si="4"/>
        <v>68</v>
      </c>
      <c r="J50" s="1">
        <f t="shared" ca="1" si="12"/>
        <v>0</v>
      </c>
      <c r="K50" s="1">
        <f t="shared" ca="1" si="19"/>
        <v>0</v>
      </c>
      <c r="L50" s="1">
        <f t="shared" ca="1" si="20"/>
        <v>68</v>
      </c>
      <c r="M50" s="1">
        <f ca="1">J50*'Data Considered'!$B$11</f>
        <v>0</v>
      </c>
      <c r="N50" s="1">
        <f ca="1">Distributor!P50</f>
        <v>0</v>
      </c>
      <c r="O50" s="1">
        <f ca="1">H50*'Data Considered'!$B$12</f>
        <v>950</v>
      </c>
      <c r="P50" s="1">
        <f t="shared" ca="1" si="7"/>
        <v>-1290</v>
      </c>
      <c r="Q50" s="1">
        <f ca="1">IF(A50=1,'Data Considered'!$B$18,Manufacturer!Q49+Manufacturer!P50)</f>
        <v>56505</v>
      </c>
      <c r="R50" s="1">
        <f ca="1">J50*'Data Considered'!$D$11</f>
        <v>0</v>
      </c>
      <c r="S50" s="1">
        <f ca="1">L50*'Data Considered'!$B$22</f>
        <v>340</v>
      </c>
      <c r="T50" s="1">
        <f ca="1">K50*'Data Considered'!$B$26</f>
        <v>0</v>
      </c>
      <c r="U50" s="1">
        <f t="shared" ca="1" si="8"/>
        <v>5</v>
      </c>
      <c r="V50" s="1">
        <f ca="1">U50+'Data Considered'!$B$15-0</f>
        <v>7</v>
      </c>
      <c r="W50" s="1">
        <f t="shared" ca="1" si="9"/>
        <v>950</v>
      </c>
      <c r="X50" s="1">
        <f t="shared" ca="1" si="10"/>
        <v>1200</v>
      </c>
    </row>
    <row r="51" spans="1:24" x14ac:dyDescent="0.3">
      <c r="A51" s="1">
        <f t="shared" si="11"/>
        <v>50</v>
      </c>
      <c r="B51" s="1">
        <f ca="1">Distributor!H50</f>
        <v>0</v>
      </c>
      <c r="C51" s="1">
        <f t="shared" ca="1" si="14"/>
        <v>23</v>
      </c>
      <c r="D51" s="1">
        <f t="shared" ca="1" si="15"/>
        <v>69</v>
      </c>
      <c r="E51" s="1">
        <f t="shared" ca="1" si="16"/>
        <v>0</v>
      </c>
      <c r="F51" s="1">
        <f ca="1">IF(A51=1,'Data Considered'!$B$5,L50+E51)</f>
        <v>68</v>
      </c>
      <c r="G51" s="1">
        <f t="shared" ca="1" si="17"/>
        <v>87</v>
      </c>
      <c r="H51" s="1">
        <f t="shared" ca="1" si="18"/>
        <v>0</v>
      </c>
      <c r="I51" s="1">
        <f t="shared" ca="1" si="4"/>
        <v>68</v>
      </c>
      <c r="J51" s="1">
        <f t="shared" ca="1" si="12"/>
        <v>0</v>
      </c>
      <c r="K51" s="1">
        <f t="shared" ca="1" si="19"/>
        <v>0</v>
      </c>
      <c r="L51" s="1">
        <f t="shared" ca="1" si="20"/>
        <v>68</v>
      </c>
      <c r="M51" s="1">
        <f ca="1">J51*'Data Considered'!$B$11</f>
        <v>0</v>
      </c>
      <c r="N51" s="1">
        <f ca="1">Distributor!P51</f>
        <v>1200</v>
      </c>
      <c r="O51" s="1">
        <f ca="1">H51*'Data Considered'!$B$12</f>
        <v>0</v>
      </c>
      <c r="P51" s="1">
        <f t="shared" ca="1" si="7"/>
        <v>860</v>
      </c>
      <c r="Q51" s="1">
        <f ca="1">IF(A51=1,'Data Considered'!$B$18,Manufacturer!Q50+Manufacturer!P51)</f>
        <v>57365</v>
      </c>
      <c r="R51" s="1">
        <f ca="1">J51*'Data Considered'!$D$11</f>
        <v>0</v>
      </c>
      <c r="S51" s="1">
        <f ca="1">L51*'Data Considered'!$B$22</f>
        <v>340</v>
      </c>
      <c r="T51" s="1">
        <f ca="1">K51*'Data Considered'!$B$26</f>
        <v>0</v>
      </c>
      <c r="U51" s="1">
        <f t="shared" ca="1" si="8"/>
        <v>5</v>
      </c>
      <c r="V51" s="1">
        <f ca="1">U51+'Data Considered'!$B$15-0</f>
        <v>7</v>
      </c>
      <c r="W51" s="1">
        <f t="shared" ca="1" si="9"/>
        <v>0</v>
      </c>
      <c r="X51" s="1">
        <f t="shared" ca="1" si="10"/>
        <v>4600</v>
      </c>
    </row>
    <row r="52" spans="1:24" x14ac:dyDescent="0.3">
      <c r="A52" s="1">
        <f t="shared" si="11"/>
        <v>51</v>
      </c>
      <c r="B52" s="1">
        <f ca="1">Distributor!H51</f>
        <v>0</v>
      </c>
      <c r="C52" s="1">
        <f t="shared" ca="1" si="14"/>
        <v>0</v>
      </c>
      <c r="D52" s="1">
        <f t="shared" ca="1" si="15"/>
        <v>0</v>
      </c>
      <c r="E52" s="1">
        <f t="shared" ca="1" si="16"/>
        <v>19</v>
      </c>
      <c r="F52" s="1">
        <f ca="1">IF(A52=1,'Data Considered'!$B$5,L51+E52)</f>
        <v>87</v>
      </c>
      <c r="G52" s="1">
        <f t="shared" ca="1" si="17"/>
        <v>87</v>
      </c>
      <c r="H52" s="1">
        <f t="shared" ca="1" si="18"/>
        <v>0</v>
      </c>
      <c r="I52" s="1">
        <f t="shared" ca="1" si="4"/>
        <v>87</v>
      </c>
      <c r="J52" s="1">
        <f t="shared" ca="1" si="12"/>
        <v>0</v>
      </c>
      <c r="K52" s="1">
        <f t="shared" ca="1" si="19"/>
        <v>0</v>
      </c>
      <c r="L52" s="1">
        <f t="shared" ca="1" si="20"/>
        <v>87</v>
      </c>
      <c r="M52" s="1">
        <f ca="1">J52*'Data Considered'!$B$11</f>
        <v>0</v>
      </c>
      <c r="N52" s="1">
        <f ca="1">Distributor!P52</f>
        <v>4600</v>
      </c>
      <c r="O52" s="1">
        <f ca="1">H52*'Data Considered'!$B$12</f>
        <v>0</v>
      </c>
      <c r="P52" s="1">
        <f t="shared" ca="1" si="7"/>
        <v>4165</v>
      </c>
      <c r="Q52" s="1">
        <f ca="1">IF(A52=1,'Data Considered'!$B$18,Manufacturer!Q51+Manufacturer!P52)</f>
        <v>61530</v>
      </c>
      <c r="R52" s="1">
        <f ca="1">J52*'Data Considered'!$D$11</f>
        <v>0</v>
      </c>
      <c r="S52" s="1">
        <f ca="1">L52*'Data Considered'!$B$22</f>
        <v>435</v>
      </c>
      <c r="T52" s="1">
        <f ca="1">K52*'Data Considered'!$B$26</f>
        <v>0</v>
      </c>
      <c r="U52" s="1">
        <f t="shared" ca="1" si="8"/>
        <v>6</v>
      </c>
      <c r="V52" s="1">
        <f ca="1">U52+'Data Considered'!$B$15-0</f>
        <v>8</v>
      </c>
      <c r="W52" s="1">
        <f t="shared" ca="1" si="9"/>
        <v>0</v>
      </c>
      <c r="X52" s="1">
        <f t="shared" ca="1" si="10"/>
        <v>0</v>
      </c>
    </row>
    <row r="53" spans="1:24" x14ac:dyDescent="0.3">
      <c r="A53" s="1">
        <f t="shared" si="11"/>
        <v>52</v>
      </c>
      <c r="B53" s="1">
        <f ca="1">Distributor!H52</f>
        <v>108</v>
      </c>
      <c r="C53" s="1">
        <f t="shared" ca="1" si="14"/>
        <v>0</v>
      </c>
      <c r="D53" s="1">
        <f t="shared" ca="1" si="15"/>
        <v>0</v>
      </c>
      <c r="E53" s="1">
        <f t="shared" ca="1" si="16"/>
        <v>0</v>
      </c>
      <c r="F53" s="1">
        <f ca="1">IF(A53=1,'Data Considered'!$B$5,L52+E53)</f>
        <v>87</v>
      </c>
      <c r="G53" s="1">
        <f t="shared" ca="1" si="17"/>
        <v>87</v>
      </c>
      <c r="H53" s="1">
        <f t="shared" ca="1" si="18"/>
        <v>0</v>
      </c>
      <c r="I53" s="1">
        <f t="shared" ca="1" si="4"/>
        <v>87</v>
      </c>
      <c r="J53" s="1">
        <f t="shared" ca="1" si="12"/>
        <v>87</v>
      </c>
      <c r="K53" s="1">
        <f t="shared" ca="1" si="19"/>
        <v>21</v>
      </c>
      <c r="L53" s="1">
        <f t="shared" ca="1" si="20"/>
        <v>0</v>
      </c>
      <c r="M53" s="1">
        <f ca="1">J53*'Data Considered'!$B$11</f>
        <v>8700</v>
      </c>
      <c r="N53" s="1">
        <f ca="1">Distributor!P53</f>
        <v>0</v>
      </c>
      <c r="O53" s="1">
        <f ca="1">H53*'Data Considered'!$B$12</f>
        <v>0</v>
      </c>
      <c r="P53" s="1">
        <f t="shared" ca="1" si="7"/>
        <v>-435</v>
      </c>
      <c r="Q53" s="1">
        <f ca="1">IF(A53=1,'Data Considered'!$B$18,Manufacturer!Q52+Manufacturer!P53)</f>
        <v>61095</v>
      </c>
      <c r="R53" s="1">
        <f ca="1">J53*'Data Considered'!$D$11</f>
        <v>435</v>
      </c>
      <c r="S53" s="1">
        <f ca="1">L53*'Data Considered'!$B$22</f>
        <v>0</v>
      </c>
      <c r="T53" s="1">
        <f ca="1">K53*'Data Considered'!$B$26</f>
        <v>840</v>
      </c>
      <c r="U53" s="1">
        <f t="shared" ca="1" si="8"/>
        <v>0</v>
      </c>
      <c r="V53" s="1">
        <f ca="1">U53+'Data Considered'!$B$15-0</f>
        <v>2</v>
      </c>
      <c r="W53" s="1">
        <f t="shared" ca="1" si="9"/>
        <v>435</v>
      </c>
      <c r="X53" s="1">
        <f t="shared" ca="1" si="10"/>
        <v>0</v>
      </c>
    </row>
    <row r="54" spans="1:24" x14ac:dyDescent="0.3">
      <c r="A54" s="1">
        <f t="shared" si="11"/>
        <v>53</v>
      </c>
      <c r="B54" s="1">
        <f ca="1">Distributor!H53</f>
        <v>0</v>
      </c>
      <c r="C54" s="1">
        <f t="shared" ca="1" si="14"/>
        <v>54</v>
      </c>
      <c r="D54" s="1">
        <f t="shared" ca="1" si="15"/>
        <v>162</v>
      </c>
      <c r="E54" s="1">
        <f t="shared" ca="1" si="16"/>
        <v>0</v>
      </c>
      <c r="F54" s="1">
        <f ca="1">IF(A54=1,'Data Considered'!$B$5,L53+E54)</f>
        <v>0</v>
      </c>
      <c r="G54" s="1">
        <f t="shared" ca="1" si="17"/>
        <v>0</v>
      </c>
      <c r="H54" s="1">
        <f t="shared" ca="1" si="18"/>
        <v>162</v>
      </c>
      <c r="I54" s="1">
        <f t="shared" ca="1" si="4"/>
        <v>0</v>
      </c>
      <c r="J54" s="1">
        <f t="shared" ca="1" si="12"/>
        <v>0</v>
      </c>
      <c r="K54" s="1">
        <f t="shared" ca="1" si="19"/>
        <v>0</v>
      </c>
      <c r="L54" s="1">
        <f t="shared" ca="1" si="20"/>
        <v>0</v>
      </c>
      <c r="M54" s="1">
        <f ca="1">J54*'Data Considered'!$B$11</f>
        <v>0</v>
      </c>
      <c r="N54" s="1">
        <f ca="1">Distributor!P54</f>
        <v>0</v>
      </c>
      <c r="O54" s="1">
        <f ca="1">H54*'Data Considered'!$B$12</f>
        <v>8100</v>
      </c>
      <c r="P54" s="1">
        <f t="shared" ca="1" si="7"/>
        <v>-8100</v>
      </c>
      <c r="Q54" s="1">
        <f ca="1">IF(A54=1,'Data Considered'!$B$18,Manufacturer!Q53+Manufacturer!P54)</f>
        <v>52995</v>
      </c>
      <c r="R54" s="1">
        <f ca="1">J54*'Data Considered'!$D$11</f>
        <v>0</v>
      </c>
      <c r="S54" s="1">
        <f ca="1">L54*'Data Considered'!$B$22</f>
        <v>0</v>
      </c>
      <c r="T54" s="1">
        <f ca="1">K54*'Data Considered'!$B$26</f>
        <v>0</v>
      </c>
      <c r="U54" s="1">
        <f t="shared" ca="1" si="8"/>
        <v>0</v>
      </c>
      <c r="V54" s="1">
        <f ca="1">U54+'Data Considered'!$B$15-0</f>
        <v>2</v>
      </c>
      <c r="W54" s="1">
        <f t="shared" ca="1" si="9"/>
        <v>8100</v>
      </c>
      <c r="X54" s="1">
        <f t="shared" ca="1" si="10"/>
        <v>0</v>
      </c>
    </row>
    <row r="55" spans="1:24" x14ac:dyDescent="0.3">
      <c r="A55" s="1">
        <f t="shared" si="11"/>
        <v>54</v>
      </c>
      <c r="B55" s="1">
        <f ca="1">Distributor!H54</f>
        <v>0</v>
      </c>
      <c r="C55" s="1">
        <f t="shared" ca="1" si="14"/>
        <v>54</v>
      </c>
      <c r="D55" s="1">
        <f t="shared" ca="1" si="15"/>
        <v>162</v>
      </c>
      <c r="E55" s="1">
        <f t="shared" ca="1" si="16"/>
        <v>0</v>
      </c>
      <c r="F55" s="1">
        <f ca="1">IF(A55=1,'Data Considered'!$B$5,L54+E55)</f>
        <v>0</v>
      </c>
      <c r="G55" s="1">
        <f t="shared" ca="1" si="17"/>
        <v>162</v>
      </c>
      <c r="H55" s="1">
        <f t="shared" ca="1" si="18"/>
        <v>0</v>
      </c>
      <c r="I55" s="1">
        <f t="shared" ca="1" si="4"/>
        <v>0</v>
      </c>
      <c r="J55" s="1">
        <f t="shared" ca="1" si="12"/>
        <v>0</v>
      </c>
      <c r="K55" s="1">
        <f t="shared" ca="1" si="19"/>
        <v>0</v>
      </c>
      <c r="L55" s="1">
        <f t="shared" ca="1" si="20"/>
        <v>0</v>
      </c>
      <c r="M55" s="1">
        <f ca="1">J55*'Data Considered'!$B$11</f>
        <v>0</v>
      </c>
      <c r="N55" s="1">
        <f ca="1">Distributor!P55</f>
        <v>0</v>
      </c>
      <c r="O55" s="1">
        <f ca="1">H55*'Data Considered'!$B$12</f>
        <v>0</v>
      </c>
      <c r="P55" s="1">
        <f t="shared" ca="1" si="7"/>
        <v>0</v>
      </c>
      <c r="Q55" s="1">
        <f ca="1">IF(A55=1,'Data Considered'!$B$18,Manufacturer!Q54+Manufacturer!P55)</f>
        <v>52995</v>
      </c>
      <c r="R55" s="1">
        <f ca="1">J55*'Data Considered'!$D$11</f>
        <v>0</v>
      </c>
      <c r="S55" s="1">
        <f ca="1">L55*'Data Considered'!$B$22</f>
        <v>0</v>
      </c>
      <c r="T55" s="1">
        <f ca="1">K55*'Data Considered'!$B$26</f>
        <v>0</v>
      </c>
      <c r="U55" s="1">
        <f t="shared" ca="1" si="8"/>
        <v>0</v>
      </c>
      <c r="V55" s="1">
        <f ca="1">U55+'Data Considered'!$B$15-0</f>
        <v>2</v>
      </c>
      <c r="W55" s="1">
        <f t="shared" ca="1" si="9"/>
        <v>0</v>
      </c>
      <c r="X55" s="1">
        <f t="shared" ca="1" si="10"/>
        <v>8700</v>
      </c>
    </row>
    <row r="56" spans="1:24" x14ac:dyDescent="0.3">
      <c r="A56" s="1">
        <f t="shared" si="11"/>
        <v>55</v>
      </c>
      <c r="B56" s="1">
        <f ca="1">Distributor!H55</f>
        <v>0</v>
      </c>
      <c r="C56" s="1">
        <f t="shared" ca="1" si="14"/>
        <v>0</v>
      </c>
      <c r="D56" s="1">
        <f t="shared" ca="1" si="15"/>
        <v>0</v>
      </c>
      <c r="E56" s="1">
        <f t="shared" ca="1" si="16"/>
        <v>162</v>
      </c>
      <c r="F56" s="1">
        <f ca="1">IF(A56=1,'Data Considered'!$B$5,L55+E56)</f>
        <v>162</v>
      </c>
      <c r="G56" s="1">
        <f t="shared" ca="1" si="17"/>
        <v>162</v>
      </c>
      <c r="H56" s="1">
        <f t="shared" ca="1" si="18"/>
        <v>0</v>
      </c>
      <c r="I56" s="1">
        <f t="shared" ca="1" si="4"/>
        <v>162</v>
      </c>
      <c r="J56" s="1">
        <f t="shared" ca="1" si="12"/>
        <v>0</v>
      </c>
      <c r="K56" s="1">
        <f t="shared" ca="1" si="19"/>
        <v>0</v>
      </c>
      <c r="L56" s="1">
        <f t="shared" ca="1" si="20"/>
        <v>162</v>
      </c>
      <c r="M56" s="1">
        <f ca="1">J56*'Data Considered'!$B$11</f>
        <v>0</v>
      </c>
      <c r="N56" s="1">
        <f ca="1">Distributor!P56</f>
        <v>8700</v>
      </c>
      <c r="O56" s="1">
        <f ca="1">H56*'Data Considered'!$B$12</f>
        <v>0</v>
      </c>
      <c r="P56" s="1">
        <f t="shared" ca="1" si="7"/>
        <v>7890</v>
      </c>
      <c r="Q56" s="1">
        <f ca="1">IF(A56=1,'Data Considered'!$B$18,Manufacturer!Q55+Manufacturer!P56)</f>
        <v>60885</v>
      </c>
      <c r="R56" s="1">
        <f ca="1">J56*'Data Considered'!$D$11</f>
        <v>0</v>
      </c>
      <c r="S56" s="1">
        <f ca="1">L56*'Data Considered'!$B$22</f>
        <v>810</v>
      </c>
      <c r="T56" s="1">
        <f ca="1">K56*'Data Considered'!$B$26</f>
        <v>0</v>
      </c>
      <c r="U56" s="1">
        <f t="shared" ca="1" si="8"/>
        <v>10</v>
      </c>
      <c r="V56" s="1">
        <f ca="1">U56+'Data Considered'!$B$15-0</f>
        <v>12</v>
      </c>
      <c r="W56" s="1">
        <f t="shared" ca="1" si="9"/>
        <v>0</v>
      </c>
      <c r="X56" s="1">
        <f t="shared" ca="1" si="10"/>
        <v>0</v>
      </c>
    </row>
    <row r="57" spans="1:24" x14ac:dyDescent="0.3">
      <c r="A57" s="1">
        <f t="shared" si="11"/>
        <v>56</v>
      </c>
      <c r="B57" s="1">
        <f ca="1">Distributor!H56</f>
        <v>2</v>
      </c>
      <c r="C57" s="1">
        <f t="shared" ca="1" si="14"/>
        <v>0</v>
      </c>
      <c r="D57" s="1">
        <f t="shared" ca="1" si="15"/>
        <v>0</v>
      </c>
      <c r="E57" s="1">
        <f t="shared" ca="1" si="16"/>
        <v>0</v>
      </c>
      <c r="F57" s="1">
        <f ca="1">IF(A57=1,'Data Considered'!$B$5,L56+E57)</f>
        <v>162</v>
      </c>
      <c r="G57" s="1">
        <f t="shared" ca="1" si="17"/>
        <v>162</v>
      </c>
      <c r="H57" s="1">
        <f t="shared" ca="1" si="18"/>
        <v>0</v>
      </c>
      <c r="I57" s="1">
        <f t="shared" ca="1" si="4"/>
        <v>162</v>
      </c>
      <c r="J57" s="1">
        <f t="shared" ca="1" si="12"/>
        <v>2</v>
      </c>
      <c r="K57" s="1">
        <f t="shared" ca="1" si="19"/>
        <v>0</v>
      </c>
      <c r="L57" s="1">
        <f t="shared" ca="1" si="20"/>
        <v>160</v>
      </c>
      <c r="M57" s="1">
        <f ca="1">J57*'Data Considered'!$B$11</f>
        <v>200</v>
      </c>
      <c r="N57" s="1">
        <f ca="1">Distributor!P57</f>
        <v>0</v>
      </c>
      <c r="O57" s="1">
        <f ca="1">H57*'Data Considered'!$B$12</f>
        <v>0</v>
      </c>
      <c r="P57" s="1">
        <f t="shared" ca="1" si="7"/>
        <v>-810</v>
      </c>
      <c r="Q57" s="1">
        <f ca="1">IF(A57=1,'Data Considered'!$B$18,Manufacturer!Q56+Manufacturer!P57)</f>
        <v>60075</v>
      </c>
      <c r="R57" s="1">
        <f ca="1">J57*'Data Considered'!$D$11</f>
        <v>10</v>
      </c>
      <c r="S57" s="1">
        <f ca="1">L57*'Data Considered'!$B$22</f>
        <v>800</v>
      </c>
      <c r="T57" s="1">
        <f ca="1">K57*'Data Considered'!$B$26</f>
        <v>0</v>
      </c>
      <c r="U57" s="1">
        <f t="shared" ca="1" si="8"/>
        <v>10</v>
      </c>
      <c r="V57" s="1">
        <f ca="1">U57+'Data Considered'!$B$15-0</f>
        <v>12</v>
      </c>
      <c r="W57" s="1">
        <f t="shared" ca="1" si="9"/>
        <v>10</v>
      </c>
      <c r="X57" s="1">
        <f t="shared" ca="1" si="10"/>
        <v>0</v>
      </c>
    </row>
    <row r="58" spans="1:24" x14ac:dyDescent="0.3">
      <c r="A58" s="1">
        <f t="shared" si="11"/>
        <v>57</v>
      </c>
      <c r="B58" s="1">
        <f ca="1">Distributor!H57</f>
        <v>31</v>
      </c>
      <c r="C58" s="1">
        <f t="shared" ca="1" si="14"/>
        <v>1</v>
      </c>
      <c r="D58" s="1">
        <f t="shared" ca="1" si="15"/>
        <v>3</v>
      </c>
      <c r="E58" s="1">
        <f t="shared" ca="1" si="16"/>
        <v>0</v>
      </c>
      <c r="F58" s="1">
        <f ca="1">IF(A58=1,'Data Considered'!$B$5,L57+E58)</f>
        <v>160</v>
      </c>
      <c r="G58" s="1">
        <f t="shared" ca="1" si="17"/>
        <v>160</v>
      </c>
      <c r="H58" s="1">
        <f t="shared" ca="1" si="18"/>
        <v>0</v>
      </c>
      <c r="I58" s="1">
        <f t="shared" ca="1" si="4"/>
        <v>160</v>
      </c>
      <c r="J58" s="1">
        <f t="shared" ca="1" si="12"/>
        <v>31</v>
      </c>
      <c r="K58" s="1">
        <f t="shared" ca="1" si="19"/>
        <v>0</v>
      </c>
      <c r="L58" s="1">
        <f t="shared" ca="1" si="20"/>
        <v>129</v>
      </c>
      <c r="M58" s="1">
        <f ca="1">J58*'Data Considered'!$B$11</f>
        <v>3100</v>
      </c>
      <c r="N58" s="1">
        <f ca="1">Distributor!P58</f>
        <v>0</v>
      </c>
      <c r="O58" s="1">
        <f ca="1">H58*'Data Considered'!$B$12</f>
        <v>0</v>
      </c>
      <c r="P58" s="1">
        <f t="shared" ca="1" si="7"/>
        <v>-800</v>
      </c>
      <c r="Q58" s="1">
        <f ca="1">IF(A58=1,'Data Considered'!$B$18,Manufacturer!Q57+Manufacturer!P58)</f>
        <v>59275</v>
      </c>
      <c r="R58" s="1">
        <f ca="1">J58*'Data Considered'!$D$11</f>
        <v>155</v>
      </c>
      <c r="S58" s="1">
        <f ca="1">L58*'Data Considered'!$B$22</f>
        <v>645</v>
      </c>
      <c r="T58" s="1">
        <f ca="1">K58*'Data Considered'!$B$26</f>
        <v>0</v>
      </c>
      <c r="U58" s="1">
        <f t="shared" ca="1" si="8"/>
        <v>8</v>
      </c>
      <c r="V58" s="1">
        <f ca="1">U58+'Data Considered'!$B$15-0</f>
        <v>10</v>
      </c>
      <c r="W58" s="1">
        <f t="shared" ca="1" si="9"/>
        <v>155</v>
      </c>
      <c r="X58" s="1">
        <f t="shared" ca="1" si="10"/>
        <v>0</v>
      </c>
    </row>
    <row r="59" spans="1:24" x14ac:dyDescent="0.3">
      <c r="A59" s="1">
        <f t="shared" si="11"/>
        <v>58</v>
      </c>
      <c r="B59" s="1">
        <f ca="1">Distributor!H58</f>
        <v>40</v>
      </c>
      <c r="C59" s="1">
        <f t="shared" ca="1" si="14"/>
        <v>17</v>
      </c>
      <c r="D59" s="1">
        <f t="shared" ca="1" si="15"/>
        <v>51</v>
      </c>
      <c r="E59" s="1">
        <f t="shared" ca="1" si="16"/>
        <v>0</v>
      </c>
      <c r="F59" s="1">
        <f ca="1">IF(A59=1,'Data Considered'!$B$5,L58+E59)</f>
        <v>129</v>
      </c>
      <c r="G59" s="1">
        <f t="shared" ca="1" si="17"/>
        <v>129</v>
      </c>
      <c r="H59" s="1">
        <f t="shared" ca="1" si="18"/>
        <v>0</v>
      </c>
      <c r="I59" s="1">
        <f t="shared" ca="1" si="4"/>
        <v>129</v>
      </c>
      <c r="J59" s="1">
        <f t="shared" ca="1" si="12"/>
        <v>40</v>
      </c>
      <c r="K59" s="1">
        <f t="shared" ca="1" si="19"/>
        <v>0</v>
      </c>
      <c r="L59" s="1">
        <f t="shared" ca="1" si="20"/>
        <v>89</v>
      </c>
      <c r="M59" s="1">
        <f ca="1">J59*'Data Considered'!$B$11</f>
        <v>4000</v>
      </c>
      <c r="N59" s="1">
        <f ca="1">Distributor!P59</f>
        <v>0</v>
      </c>
      <c r="O59" s="1">
        <f ca="1">H59*'Data Considered'!$B$12</f>
        <v>0</v>
      </c>
      <c r="P59" s="1">
        <f t="shared" ca="1" si="7"/>
        <v>-645</v>
      </c>
      <c r="Q59" s="1">
        <f ca="1">IF(A59=1,'Data Considered'!$B$18,Manufacturer!Q58+Manufacturer!P59)</f>
        <v>58630</v>
      </c>
      <c r="R59" s="1">
        <f ca="1">J59*'Data Considered'!$D$11</f>
        <v>200</v>
      </c>
      <c r="S59" s="1">
        <f ca="1">L59*'Data Considered'!$B$22</f>
        <v>445</v>
      </c>
      <c r="T59" s="1">
        <f ca="1">K59*'Data Considered'!$B$26</f>
        <v>0</v>
      </c>
      <c r="U59" s="1">
        <f t="shared" ca="1" si="8"/>
        <v>6</v>
      </c>
      <c r="V59" s="1">
        <f ca="1">U59+'Data Considered'!$B$15-0</f>
        <v>8</v>
      </c>
      <c r="W59" s="1">
        <f t="shared" ca="1" si="9"/>
        <v>200</v>
      </c>
      <c r="X59" s="1">
        <f t="shared" ca="1" si="10"/>
        <v>200</v>
      </c>
    </row>
    <row r="60" spans="1:24" x14ac:dyDescent="0.3">
      <c r="A60" s="1">
        <f t="shared" si="11"/>
        <v>59</v>
      </c>
      <c r="B60" s="1">
        <f ca="1">Distributor!H59</f>
        <v>0</v>
      </c>
      <c r="C60" s="1">
        <f t="shared" ca="1" si="14"/>
        <v>36</v>
      </c>
      <c r="D60" s="1">
        <f t="shared" ca="1" si="15"/>
        <v>108</v>
      </c>
      <c r="E60" s="1">
        <f t="shared" ca="1" si="16"/>
        <v>0</v>
      </c>
      <c r="F60" s="1">
        <f ca="1">IF(A60=1,'Data Considered'!$B$5,L59+E60)</f>
        <v>89</v>
      </c>
      <c r="G60" s="1">
        <f t="shared" ca="1" si="17"/>
        <v>89</v>
      </c>
      <c r="H60" s="1">
        <f t="shared" ca="1" si="18"/>
        <v>19</v>
      </c>
      <c r="I60" s="1">
        <f t="shared" ca="1" si="4"/>
        <v>89</v>
      </c>
      <c r="J60" s="1">
        <f t="shared" ca="1" si="12"/>
        <v>0</v>
      </c>
      <c r="K60" s="1">
        <f t="shared" ca="1" si="19"/>
        <v>0</v>
      </c>
      <c r="L60" s="1">
        <f t="shared" ca="1" si="20"/>
        <v>89</v>
      </c>
      <c r="M60" s="1">
        <f ca="1">J60*'Data Considered'!$B$11</f>
        <v>0</v>
      </c>
      <c r="N60" s="1">
        <f ca="1">Distributor!P60</f>
        <v>200</v>
      </c>
      <c r="O60" s="1">
        <f ca="1">H60*'Data Considered'!$B$12</f>
        <v>950</v>
      </c>
      <c r="P60" s="1">
        <f t="shared" ca="1" si="7"/>
        <v>-1195</v>
      </c>
      <c r="Q60" s="1">
        <f ca="1">IF(A60=1,'Data Considered'!$B$18,Manufacturer!Q59+Manufacturer!P60)</f>
        <v>57435</v>
      </c>
      <c r="R60" s="1">
        <f ca="1">J60*'Data Considered'!$D$11</f>
        <v>0</v>
      </c>
      <c r="S60" s="1">
        <f ca="1">L60*'Data Considered'!$B$22</f>
        <v>445</v>
      </c>
      <c r="T60" s="1">
        <f ca="1">K60*'Data Considered'!$B$26</f>
        <v>0</v>
      </c>
      <c r="U60" s="1">
        <f t="shared" ca="1" si="8"/>
        <v>6</v>
      </c>
      <c r="V60" s="1">
        <f ca="1">U60+'Data Considered'!$B$15-0</f>
        <v>8</v>
      </c>
      <c r="W60" s="1">
        <f t="shared" ca="1" si="9"/>
        <v>950</v>
      </c>
      <c r="X60" s="1">
        <f t="shared" ca="1" si="10"/>
        <v>3100</v>
      </c>
    </row>
    <row r="61" spans="1:24" x14ac:dyDescent="0.3">
      <c r="A61" s="1">
        <f t="shared" si="11"/>
        <v>60</v>
      </c>
      <c r="B61" s="1">
        <f ca="1">Distributor!H60</f>
        <v>0</v>
      </c>
      <c r="C61" s="1">
        <f t="shared" ca="1" si="14"/>
        <v>20</v>
      </c>
      <c r="D61" s="1">
        <f t="shared" ca="1" si="15"/>
        <v>60</v>
      </c>
      <c r="E61" s="1">
        <f t="shared" ca="1" si="16"/>
        <v>0</v>
      </c>
      <c r="F61" s="1">
        <f ca="1">IF(A61=1,'Data Considered'!$B$5,L60+E61)</f>
        <v>89</v>
      </c>
      <c r="G61" s="1">
        <f t="shared" ca="1" si="17"/>
        <v>108</v>
      </c>
      <c r="H61" s="1">
        <f t="shared" ca="1" si="18"/>
        <v>0</v>
      </c>
      <c r="I61" s="1">
        <f t="shared" ca="1" si="4"/>
        <v>89</v>
      </c>
      <c r="J61" s="1">
        <f t="shared" ca="1" si="12"/>
        <v>0</v>
      </c>
      <c r="K61" s="1">
        <f t="shared" ca="1" si="19"/>
        <v>0</v>
      </c>
      <c r="L61" s="1">
        <f t="shared" ca="1" si="20"/>
        <v>89</v>
      </c>
      <c r="M61" s="1">
        <f ca="1">J61*'Data Considered'!$B$11</f>
        <v>0</v>
      </c>
      <c r="N61" s="1">
        <f ca="1">Distributor!P61</f>
        <v>3100</v>
      </c>
      <c r="O61" s="1">
        <f ca="1">H61*'Data Considered'!$B$12</f>
        <v>0</v>
      </c>
      <c r="P61" s="1">
        <f t="shared" ca="1" si="7"/>
        <v>2655</v>
      </c>
      <c r="Q61" s="1">
        <f ca="1">IF(A61=1,'Data Considered'!$B$18,Manufacturer!Q60+Manufacturer!P61)</f>
        <v>60090</v>
      </c>
      <c r="R61" s="1">
        <f ca="1">J61*'Data Considered'!$D$11</f>
        <v>0</v>
      </c>
      <c r="S61" s="1">
        <f ca="1">L61*'Data Considered'!$B$22</f>
        <v>445</v>
      </c>
      <c r="T61" s="1">
        <f ca="1">K61*'Data Considered'!$B$26</f>
        <v>0</v>
      </c>
      <c r="U61" s="1">
        <f t="shared" ca="1" si="8"/>
        <v>6</v>
      </c>
      <c r="V61" s="1">
        <f ca="1">U61+'Data Considered'!$B$15-0</f>
        <v>8</v>
      </c>
      <c r="W61" s="1">
        <f t="shared" ca="1" si="9"/>
        <v>0</v>
      </c>
      <c r="X61" s="1">
        <f t="shared" ca="1" si="10"/>
        <v>4000</v>
      </c>
    </row>
    <row r="62" spans="1:24" x14ac:dyDescent="0.3">
      <c r="A62" s="1">
        <f t="shared" si="11"/>
        <v>61</v>
      </c>
      <c r="B62" s="1">
        <f ca="1">Distributor!H61</f>
        <v>0</v>
      </c>
      <c r="C62" s="1">
        <f t="shared" ca="1" si="14"/>
        <v>0</v>
      </c>
      <c r="D62" s="1">
        <f t="shared" ca="1" si="15"/>
        <v>0</v>
      </c>
      <c r="E62" s="1">
        <f t="shared" ca="1" si="16"/>
        <v>19</v>
      </c>
      <c r="F62" s="1">
        <f ca="1">IF(A62=1,'Data Considered'!$B$5,L61+E62)</f>
        <v>108</v>
      </c>
      <c r="G62" s="1">
        <f t="shared" ca="1" si="17"/>
        <v>108</v>
      </c>
      <c r="H62" s="1">
        <f t="shared" ca="1" si="18"/>
        <v>0</v>
      </c>
      <c r="I62" s="1">
        <f t="shared" ca="1" si="4"/>
        <v>108</v>
      </c>
      <c r="J62" s="1">
        <f t="shared" ca="1" si="12"/>
        <v>0</v>
      </c>
      <c r="K62" s="1">
        <f t="shared" ca="1" si="19"/>
        <v>0</v>
      </c>
      <c r="L62" s="1">
        <f t="shared" ca="1" si="20"/>
        <v>108</v>
      </c>
      <c r="M62" s="1">
        <f ca="1">J62*'Data Considered'!$B$11</f>
        <v>0</v>
      </c>
      <c r="N62" s="1">
        <f ca="1">Distributor!P62</f>
        <v>4000</v>
      </c>
      <c r="O62" s="1">
        <f ca="1">H62*'Data Considered'!$B$12</f>
        <v>0</v>
      </c>
      <c r="P62" s="1">
        <f t="shared" ca="1" si="7"/>
        <v>3460</v>
      </c>
      <c r="Q62" s="1">
        <f ca="1">IF(A62=1,'Data Considered'!$B$18,Manufacturer!Q61+Manufacturer!P62)</f>
        <v>63550</v>
      </c>
      <c r="R62" s="1">
        <f ca="1">J62*'Data Considered'!$D$11</f>
        <v>0</v>
      </c>
      <c r="S62" s="1">
        <f ca="1">L62*'Data Considered'!$B$22</f>
        <v>540</v>
      </c>
      <c r="T62" s="1">
        <f ca="1">K62*'Data Considered'!$B$26</f>
        <v>0</v>
      </c>
      <c r="U62" s="1">
        <f t="shared" ca="1" si="8"/>
        <v>7</v>
      </c>
      <c r="V62" s="1">
        <f ca="1">U62+'Data Considered'!$B$15-0</f>
        <v>9</v>
      </c>
      <c r="W62" s="1">
        <f t="shared" ca="1" si="9"/>
        <v>0</v>
      </c>
      <c r="X62" s="1">
        <f t="shared" ca="1" si="10"/>
        <v>0</v>
      </c>
    </row>
    <row r="63" spans="1:24" x14ac:dyDescent="0.3">
      <c r="A63" s="1">
        <f t="shared" si="11"/>
        <v>62</v>
      </c>
      <c r="B63" s="1">
        <f ca="1">Distributor!H62</f>
        <v>53</v>
      </c>
      <c r="C63" s="1">
        <f t="shared" ca="1" si="14"/>
        <v>0</v>
      </c>
      <c r="D63" s="1">
        <f t="shared" ca="1" si="15"/>
        <v>0</v>
      </c>
      <c r="E63" s="1">
        <f t="shared" ca="1" si="16"/>
        <v>0</v>
      </c>
      <c r="F63" s="1">
        <f ca="1">IF(A63=1,'Data Considered'!$B$5,L62+E63)</f>
        <v>108</v>
      </c>
      <c r="G63" s="1">
        <f t="shared" ca="1" si="17"/>
        <v>108</v>
      </c>
      <c r="H63" s="1">
        <f t="shared" ca="1" si="18"/>
        <v>0</v>
      </c>
      <c r="I63" s="1">
        <f t="shared" ca="1" si="4"/>
        <v>108</v>
      </c>
      <c r="J63" s="1">
        <f t="shared" ca="1" si="12"/>
        <v>53</v>
      </c>
      <c r="K63" s="1">
        <f t="shared" ca="1" si="19"/>
        <v>0</v>
      </c>
      <c r="L63" s="1">
        <f t="shared" ca="1" si="20"/>
        <v>55</v>
      </c>
      <c r="M63" s="1">
        <f ca="1">J63*'Data Considered'!$B$11</f>
        <v>5300</v>
      </c>
      <c r="N63" s="1">
        <f ca="1">Distributor!P63</f>
        <v>0</v>
      </c>
      <c r="O63" s="1">
        <f ca="1">H63*'Data Considered'!$B$12</f>
        <v>0</v>
      </c>
      <c r="P63" s="1">
        <f t="shared" ca="1" si="7"/>
        <v>-540</v>
      </c>
      <c r="Q63" s="1">
        <f ca="1">IF(A63=1,'Data Considered'!$B$18,Manufacturer!Q62+Manufacturer!P63)</f>
        <v>63010</v>
      </c>
      <c r="R63" s="1">
        <f ca="1">J63*'Data Considered'!$D$11</f>
        <v>265</v>
      </c>
      <c r="S63" s="1">
        <f ca="1">L63*'Data Considered'!$B$22</f>
        <v>275</v>
      </c>
      <c r="T63" s="1">
        <f ca="1">K63*'Data Considered'!$B$26</f>
        <v>0</v>
      </c>
      <c r="U63" s="1">
        <f t="shared" ca="1" si="8"/>
        <v>4</v>
      </c>
      <c r="V63" s="1">
        <f ca="1">U63+'Data Considered'!$B$15-0</f>
        <v>6</v>
      </c>
      <c r="W63" s="1">
        <f t="shared" ca="1" si="9"/>
        <v>265</v>
      </c>
      <c r="X63" s="1">
        <f t="shared" ca="1" si="10"/>
        <v>0</v>
      </c>
    </row>
    <row r="64" spans="1:24" x14ac:dyDescent="0.3">
      <c r="A64" s="1">
        <f t="shared" si="11"/>
        <v>63</v>
      </c>
      <c r="B64" s="1">
        <f ca="1">Distributor!H63</f>
        <v>19</v>
      </c>
      <c r="C64" s="1">
        <f t="shared" ca="1" si="14"/>
        <v>27</v>
      </c>
      <c r="D64" s="1">
        <f t="shared" ca="1" si="15"/>
        <v>81</v>
      </c>
      <c r="E64" s="1">
        <f t="shared" ca="1" si="16"/>
        <v>0</v>
      </c>
      <c r="F64" s="1">
        <f ca="1">IF(A64=1,'Data Considered'!$B$5,L63+E64)</f>
        <v>55</v>
      </c>
      <c r="G64" s="1">
        <f t="shared" ca="1" si="17"/>
        <v>55</v>
      </c>
      <c r="H64" s="1">
        <f t="shared" ca="1" si="18"/>
        <v>26</v>
      </c>
      <c r="I64" s="1">
        <f t="shared" ca="1" si="4"/>
        <v>55</v>
      </c>
      <c r="J64" s="1">
        <f t="shared" ca="1" si="12"/>
        <v>19</v>
      </c>
      <c r="K64" s="1">
        <f t="shared" ca="1" si="19"/>
        <v>0</v>
      </c>
      <c r="L64" s="1">
        <f t="shared" ca="1" si="20"/>
        <v>36</v>
      </c>
      <c r="M64" s="1">
        <f ca="1">J64*'Data Considered'!$B$11</f>
        <v>1900</v>
      </c>
      <c r="N64" s="1">
        <f ca="1">Distributor!P64</f>
        <v>0</v>
      </c>
      <c r="O64" s="1">
        <f ca="1">H64*'Data Considered'!$B$12</f>
        <v>1300</v>
      </c>
      <c r="P64" s="1">
        <f t="shared" ca="1" si="7"/>
        <v>-1575</v>
      </c>
      <c r="Q64" s="1">
        <f ca="1">IF(A64=1,'Data Considered'!$B$18,Manufacturer!Q63+Manufacturer!P64)</f>
        <v>61435</v>
      </c>
      <c r="R64" s="1">
        <f ca="1">J64*'Data Considered'!$D$11</f>
        <v>95</v>
      </c>
      <c r="S64" s="1">
        <f ca="1">L64*'Data Considered'!$B$22</f>
        <v>180</v>
      </c>
      <c r="T64" s="1">
        <f ca="1">K64*'Data Considered'!$B$26</f>
        <v>0</v>
      </c>
      <c r="U64" s="1">
        <f t="shared" ca="1" si="8"/>
        <v>3</v>
      </c>
      <c r="V64" s="1">
        <f ca="1">U64+'Data Considered'!$B$15-0</f>
        <v>5</v>
      </c>
      <c r="W64" s="1">
        <f t="shared" ca="1" si="9"/>
        <v>1395</v>
      </c>
      <c r="X64" s="1">
        <f t="shared" ca="1" si="10"/>
        <v>0</v>
      </c>
    </row>
    <row r="65" spans="1:24" x14ac:dyDescent="0.3">
      <c r="A65" s="1">
        <f t="shared" si="11"/>
        <v>64</v>
      </c>
      <c r="B65" s="1">
        <f ca="1">Distributor!H64</f>
        <v>0</v>
      </c>
      <c r="C65" s="1">
        <f t="shared" ca="1" si="14"/>
        <v>36</v>
      </c>
      <c r="D65" s="1">
        <f t="shared" ca="1" si="15"/>
        <v>108</v>
      </c>
      <c r="E65" s="1">
        <f t="shared" ca="1" si="16"/>
        <v>0</v>
      </c>
      <c r="F65" s="1">
        <f ca="1">IF(A65=1,'Data Considered'!$B$5,L64+E65)</f>
        <v>36</v>
      </c>
      <c r="G65" s="1">
        <f t="shared" ca="1" si="17"/>
        <v>62</v>
      </c>
      <c r="H65" s="1">
        <f t="shared" ca="1" si="18"/>
        <v>46</v>
      </c>
      <c r="I65" s="1">
        <f t="shared" ca="1" si="4"/>
        <v>36</v>
      </c>
      <c r="J65" s="1">
        <f t="shared" ca="1" si="12"/>
        <v>0</v>
      </c>
      <c r="K65" s="1">
        <f t="shared" ca="1" si="19"/>
        <v>0</v>
      </c>
      <c r="L65" s="1">
        <f t="shared" ca="1" si="20"/>
        <v>36</v>
      </c>
      <c r="M65" s="1">
        <f ca="1">J65*'Data Considered'!$B$11</f>
        <v>0</v>
      </c>
      <c r="N65" s="1">
        <f ca="1">Distributor!P65</f>
        <v>0</v>
      </c>
      <c r="O65" s="1">
        <f ca="1">H65*'Data Considered'!$B$12</f>
        <v>2300</v>
      </c>
      <c r="P65" s="1">
        <f t="shared" ca="1" si="7"/>
        <v>-2480</v>
      </c>
      <c r="Q65" s="1">
        <f ca="1">IF(A65=1,'Data Considered'!$B$18,Manufacturer!Q64+Manufacturer!P65)</f>
        <v>58955</v>
      </c>
      <c r="R65" s="1">
        <f ca="1">J65*'Data Considered'!$D$11</f>
        <v>0</v>
      </c>
      <c r="S65" s="1">
        <f ca="1">L65*'Data Considered'!$B$22</f>
        <v>180</v>
      </c>
      <c r="T65" s="1">
        <f ca="1">K65*'Data Considered'!$B$26</f>
        <v>0</v>
      </c>
      <c r="U65" s="1">
        <f t="shared" ca="1" si="8"/>
        <v>3</v>
      </c>
      <c r="V65" s="1">
        <f ca="1">U65+'Data Considered'!$B$15-0</f>
        <v>5</v>
      </c>
      <c r="W65" s="1">
        <f t="shared" ca="1" si="9"/>
        <v>2300</v>
      </c>
      <c r="X65" s="1">
        <f t="shared" ca="1" si="10"/>
        <v>5300</v>
      </c>
    </row>
    <row r="66" spans="1:24" x14ac:dyDescent="0.3">
      <c r="A66" s="1">
        <f t="shared" si="11"/>
        <v>65</v>
      </c>
      <c r="B66" s="1">
        <f ca="1">Distributor!H65</f>
        <v>67</v>
      </c>
      <c r="C66" s="1">
        <f t="shared" ca="1" si="14"/>
        <v>10</v>
      </c>
      <c r="D66" s="1">
        <f t="shared" ca="1" si="15"/>
        <v>30</v>
      </c>
      <c r="E66" s="1">
        <f t="shared" ca="1" si="16"/>
        <v>26</v>
      </c>
      <c r="F66" s="1">
        <f ca="1">IF(A66=1,'Data Considered'!$B$5,L65+E66)</f>
        <v>62</v>
      </c>
      <c r="G66" s="1">
        <f t="shared" ca="1" si="17"/>
        <v>108</v>
      </c>
      <c r="H66" s="1">
        <f t="shared" ca="1" si="18"/>
        <v>0</v>
      </c>
      <c r="I66" s="1">
        <f t="shared" ca="1" si="4"/>
        <v>62</v>
      </c>
      <c r="J66" s="1">
        <f t="shared" ca="1" si="12"/>
        <v>62</v>
      </c>
      <c r="K66" s="1">
        <f t="shared" ca="1" si="19"/>
        <v>5</v>
      </c>
      <c r="L66" s="1">
        <f t="shared" ca="1" si="20"/>
        <v>0</v>
      </c>
      <c r="M66" s="1">
        <f ca="1">J66*'Data Considered'!$B$11</f>
        <v>6200</v>
      </c>
      <c r="N66" s="1">
        <f ca="1">Distributor!P66</f>
        <v>5300</v>
      </c>
      <c r="O66" s="1">
        <f ca="1">H66*'Data Considered'!$B$12</f>
        <v>0</v>
      </c>
      <c r="P66" s="1">
        <f t="shared" ca="1" si="7"/>
        <v>4990</v>
      </c>
      <c r="Q66" s="1">
        <f ca="1">IF(A66=1,'Data Considered'!$B$18,Manufacturer!Q65+Manufacturer!P66)</f>
        <v>63945</v>
      </c>
      <c r="R66" s="1">
        <f ca="1">J66*'Data Considered'!$D$11</f>
        <v>310</v>
      </c>
      <c r="S66" s="1">
        <f ca="1">L66*'Data Considered'!$B$22</f>
        <v>0</v>
      </c>
      <c r="T66" s="1">
        <f ca="1">K66*'Data Considered'!$B$26</f>
        <v>200</v>
      </c>
      <c r="U66" s="1">
        <f t="shared" ca="1" si="8"/>
        <v>0</v>
      </c>
      <c r="V66" s="1">
        <f ca="1">U66+'Data Considered'!$B$15-0</f>
        <v>2</v>
      </c>
      <c r="W66" s="1">
        <f t="shared" ca="1" si="9"/>
        <v>310</v>
      </c>
      <c r="X66" s="1">
        <f t="shared" ca="1" si="10"/>
        <v>1900</v>
      </c>
    </row>
    <row r="67" spans="1:24" x14ac:dyDescent="0.3">
      <c r="A67" s="1">
        <f t="shared" si="11"/>
        <v>66</v>
      </c>
      <c r="B67" s="1">
        <f ca="1">Distributor!H66</f>
        <v>20</v>
      </c>
      <c r="C67" s="1">
        <f t="shared" ca="1" si="14"/>
        <v>34</v>
      </c>
      <c r="D67" s="1">
        <f t="shared" ca="1" si="15"/>
        <v>102</v>
      </c>
      <c r="E67" s="1">
        <f t="shared" ca="1" si="16"/>
        <v>46</v>
      </c>
      <c r="F67" s="1">
        <f ca="1">IF(A67=1,'Data Considered'!$B$5,L66+E67)</f>
        <v>46</v>
      </c>
      <c r="G67" s="1">
        <f t="shared" ca="1" si="17"/>
        <v>46</v>
      </c>
      <c r="H67" s="1">
        <f t="shared" ca="1" si="18"/>
        <v>56</v>
      </c>
      <c r="I67" s="1">
        <f t="shared" ref="I67:I105" ca="1" si="21">F67</f>
        <v>46</v>
      </c>
      <c r="J67" s="1">
        <f t="shared" ca="1" si="12"/>
        <v>20</v>
      </c>
      <c r="K67" s="1">
        <f t="shared" ca="1" si="19"/>
        <v>0</v>
      </c>
      <c r="L67" s="1">
        <f t="shared" ca="1" si="20"/>
        <v>26</v>
      </c>
      <c r="M67" s="1">
        <f ca="1">J67*'Data Considered'!$B$11</f>
        <v>2000</v>
      </c>
      <c r="N67" s="1">
        <f ca="1">Distributor!P67</f>
        <v>1900</v>
      </c>
      <c r="O67" s="1">
        <f ca="1">H67*'Data Considered'!$B$12</f>
        <v>2800</v>
      </c>
      <c r="P67" s="1">
        <f t="shared" ref="P67:P105" ca="1" si="22">N67-O67-S67-R67</f>
        <v>-1130</v>
      </c>
      <c r="Q67" s="1">
        <f ca="1">IF(A67=1,'Data Considered'!$B$18,Manufacturer!Q66+Manufacturer!P67)</f>
        <v>62815</v>
      </c>
      <c r="R67" s="1">
        <f ca="1">J67*'Data Considered'!$D$11</f>
        <v>100</v>
      </c>
      <c r="S67" s="1">
        <f ca="1">L67*'Data Considered'!$B$22</f>
        <v>130</v>
      </c>
      <c r="T67" s="1">
        <f ca="1">K67*'Data Considered'!$B$26</f>
        <v>0</v>
      </c>
      <c r="U67" s="1">
        <f t="shared" ref="U67:U105" ca="1" si="23">ROUNDUP(L67/$B$108,0)</f>
        <v>2</v>
      </c>
      <c r="V67" s="1">
        <f ca="1">U67+'Data Considered'!$B$15-0</f>
        <v>4</v>
      </c>
      <c r="W67" s="1">
        <f t="shared" ref="W67:W105" ca="1" si="24">O67+R67</f>
        <v>2900</v>
      </c>
      <c r="X67" s="1">
        <f t="shared" ref="X67:X105" ca="1" si="25">IF(A67&gt;2,OFFSET(M67,-2,0),0)</f>
        <v>0</v>
      </c>
    </row>
    <row r="68" spans="1:24" x14ac:dyDescent="0.3">
      <c r="A68" s="1">
        <f t="shared" ref="A68:A105" si="26">A67+1</f>
        <v>67</v>
      </c>
      <c r="B68" s="1">
        <f ca="1">Distributor!H67</f>
        <v>0</v>
      </c>
      <c r="C68" s="1">
        <f t="shared" ca="1" si="14"/>
        <v>44</v>
      </c>
      <c r="D68" s="1">
        <f t="shared" ca="1" si="15"/>
        <v>132</v>
      </c>
      <c r="E68" s="1">
        <f t="shared" ca="1" si="16"/>
        <v>0</v>
      </c>
      <c r="F68" s="1">
        <f ca="1">IF(A68=1,'Data Considered'!$B$5,L67+E68)</f>
        <v>26</v>
      </c>
      <c r="G68" s="1">
        <f t="shared" ca="1" si="17"/>
        <v>82</v>
      </c>
      <c r="H68" s="1">
        <f t="shared" ca="1" si="18"/>
        <v>50</v>
      </c>
      <c r="I68" s="1">
        <f t="shared" ca="1" si="21"/>
        <v>26</v>
      </c>
      <c r="J68" s="1">
        <f t="shared" ref="J68:J105" ca="1" si="27">MIN(B68,I68)</f>
        <v>0</v>
      </c>
      <c r="K68" s="1">
        <f t="shared" ca="1" si="19"/>
        <v>0</v>
      </c>
      <c r="L68" s="1">
        <f t="shared" ca="1" si="20"/>
        <v>26</v>
      </c>
      <c r="M68" s="1">
        <f ca="1">J68*'Data Considered'!$B$11</f>
        <v>0</v>
      </c>
      <c r="N68" s="1">
        <f ca="1">Distributor!P68</f>
        <v>0</v>
      </c>
      <c r="O68" s="1">
        <f ca="1">H68*'Data Considered'!$B$12</f>
        <v>2500</v>
      </c>
      <c r="P68" s="1">
        <f t="shared" ca="1" si="22"/>
        <v>-2630</v>
      </c>
      <c r="Q68" s="1">
        <f ca="1">IF(A68=1,'Data Considered'!$B$18,Manufacturer!Q67+Manufacturer!P68)</f>
        <v>60185</v>
      </c>
      <c r="R68" s="1">
        <f ca="1">J68*'Data Considered'!$D$11</f>
        <v>0</v>
      </c>
      <c r="S68" s="1">
        <f ca="1">L68*'Data Considered'!$B$22</f>
        <v>130</v>
      </c>
      <c r="T68" s="1">
        <f ca="1">K68*'Data Considered'!$B$26</f>
        <v>0</v>
      </c>
      <c r="U68" s="1">
        <f t="shared" ca="1" si="23"/>
        <v>2</v>
      </c>
      <c r="V68" s="1">
        <f ca="1">U68+'Data Considered'!$B$15-0</f>
        <v>4</v>
      </c>
      <c r="W68" s="1">
        <f t="shared" ca="1" si="24"/>
        <v>2500</v>
      </c>
      <c r="X68" s="1">
        <f t="shared" ca="1" si="25"/>
        <v>6200</v>
      </c>
    </row>
    <row r="69" spans="1:24" x14ac:dyDescent="0.3">
      <c r="A69" s="1">
        <f t="shared" si="26"/>
        <v>68</v>
      </c>
      <c r="B69" s="1">
        <f ca="1">Distributor!H68</f>
        <v>0</v>
      </c>
      <c r="C69" s="1">
        <f t="shared" ca="1" si="14"/>
        <v>10</v>
      </c>
      <c r="D69" s="1">
        <f t="shared" ca="1" si="15"/>
        <v>30</v>
      </c>
      <c r="E69" s="1">
        <f t="shared" ca="1" si="16"/>
        <v>56</v>
      </c>
      <c r="F69" s="1">
        <f ca="1">IF(A69=1,'Data Considered'!$B$5,L68+E69)</f>
        <v>82</v>
      </c>
      <c r="G69" s="1">
        <f t="shared" ca="1" si="17"/>
        <v>132</v>
      </c>
      <c r="H69" s="1">
        <f t="shared" ca="1" si="18"/>
        <v>0</v>
      </c>
      <c r="I69" s="1">
        <f t="shared" ca="1" si="21"/>
        <v>82</v>
      </c>
      <c r="J69" s="1">
        <f t="shared" ca="1" si="27"/>
        <v>0</v>
      </c>
      <c r="K69" s="1">
        <f t="shared" ca="1" si="19"/>
        <v>0</v>
      </c>
      <c r="L69" s="1">
        <f t="shared" ca="1" si="20"/>
        <v>82</v>
      </c>
      <c r="M69" s="1">
        <f ca="1">J69*'Data Considered'!$B$11</f>
        <v>0</v>
      </c>
      <c r="N69" s="1">
        <f ca="1">Distributor!P69</f>
        <v>6200</v>
      </c>
      <c r="O69" s="1">
        <f ca="1">H69*'Data Considered'!$B$12</f>
        <v>0</v>
      </c>
      <c r="P69" s="1">
        <f t="shared" ca="1" si="22"/>
        <v>5790</v>
      </c>
      <c r="Q69" s="1">
        <f ca="1">IF(A69=1,'Data Considered'!$B$18,Manufacturer!Q68+Manufacturer!P69)</f>
        <v>65975</v>
      </c>
      <c r="R69" s="1">
        <f ca="1">J69*'Data Considered'!$D$11</f>
        <v>0</v>
      </c>
      <c r="S69" s="1">
        <f ca="1">L69*'Data Considered'!$B$22</f>
        <v>410</v>
      </c>
      <c r="T69" s="1">
        <f ca="1">K69*'Data Considered'!$B$26</f>
        <v>0</v>
      </c>
      <c r="U69" s="1">
        <f t="shared" ca="1" si="23"/>
        <v>6</v>
      </c>
      <c r="V69" s="1">
        <f ca="1">U69+'Data Considered'!$B$15-0</f>
        <v>8</v>
      </c>
      <c r="W69" s="1">
        <f t="shared" ca="1" si="24"/>
        <v>0</v>
      </c>
      <c r="X69" s="1">
        <f t="shared" ca="1" si="25"/>
        <v>2000</v>
      </c>
    </row>
    <row r="70" spans="1:24" x14ac:dyDescent="0.3">
      <c r="A70" s="1">
        <f t="shared" si="26"/>
        <v>69</v>
      </c>
      <c r="B70" s="1">
        <f ca="1">Distributor!H69</f>
        <v>0</v>
      </c>
      <c r="C70" s="1">
        <f t="shared" ca="1" si="14"/>
        <v>0</v>
      </c>
      <c r="D70" s="1">
        <f t="shared" ca="1" si="15"/>
        <v>0</v>
      </c>
      <c r="E70" s="1">
        <f t="shared" ca="1" si="16"/>
        <v>50</v>
      </c>
      <c r="F70" s="1">
        <f ca="1">IF(A70=1,'Data Considered'!$B$5,L69+E70)</f>
        <v>132</v>
      </c>
      <c r="G70" s="1">
        <f t="shared" ca="1" si="17"/>
        <v>132</v>
      </c>
      <c r="H70" s="1">
        <f t="shared" ca="1" si="18"/>
        <v>0</v>
      </c>
      <c r="I70" s="1">
        <f t="shared" ca="1" si="21"/>
        <v>132</v>
      </c>
      <c r="J70" s="1">
        <f t="shared" ca="1" si="27"/>
        <v>0</v>
      </c>
      <c r="K70" s="1">
        <f t="shared" ca="1" si="19"/>
        <v>0</v>
      </c>
      <c r="L70" s="1">
        <f t="shared" ca="1" si="20"/>
        <v>132</v>
      </c>
      <c r="M70" s="1">
        <f ca="1">J70*'Data Considered'!$B$11</f>
        <v>0</v>
      </c>
      <c r="N70" s="1">
        <f ca="1">Distributor!P70</f>
        <v>2000</v>
      </c>
      <c r="O70" s="1">
        <f ca="1">H70*'Data Considered'!$B$12</f>
        <v>0</v>
      </c>
      <c r="P70" s="1">
        <f t="shared" ca="1" si="22"/>
        <v>1340</v>
      </c>
      <c r="Q70" s="1">
        <f ca="1">IF(A70=1,'Data Considered'!$B$18,Manufacturer!Q69+Manufacturer!P70)</f>
        <v>67315</v>
      </c>
      <c r="R70" s="1">
        <f ca="1">J70*'Data Considered'!$D$11</f>
        <v>0</v>
      </c>
      <c r="S70" s="1">
        <f ca="1">L70*'Data Considered'!$B$22</f>
        <v>660</v>
      </c>
      <c r="T70" s="1">
        <f ca="1">K70*'Data Considered'!$B$26</f>
        <v>0</v>
      </c>
      <c r="U70" s="1">
        <f t="shared" ca="1" si="23"/>
        <v>9</v>
      </c>
      <c r="V70" s="1">
        <f ca="1">U70+'Data Considered'!$B$15-0</f>
        <v>11</v>
      </c>
      <c r="W70" s="1">
        <f t="shared" ca="1" si="24"/>
        <v>0</v>
      </c>
      <c r="X70" s="1">
        <f t="shared" ca="1" si="25"/>
        <v>0</v>
      </c>
    </row>
    <row r="71" spans="1:24" x14ac:dyDescent="0.3">
      <c r="A71" s="1">
        <f t="shared" si="26"/>
        <v>70</v>
      </c>
      <c r="B71" s="1">
        <f ca="1">Distributor!H70</f>
        <v>50</v>
      </c>
      <c r="C71" s="1">
        <f t="shared" ca="1" si="14"/>
        <v>0</v>
      </c>
      <c r="D71" s="1">
        <f t="shared" ca="1" si="15"/>
        <v>0</v>
      </c>
      <c r="E71" s="1">
        <f t="shared" ca="1" si="16"/>
        <v>0</v>
      </c>
      <c r="F71" s="1">
        <f ca="1">IF(A71=1,'Data Considered'!$B$5,L70+E71)</f>
        <v>132</v>
      </c>
      <c r="G71" s="1">
        <f t="shared" ca="1" si="17"/>
        <v>132</v>
      </c>
      <c r="H71" s="1">
        <f t="shared" ca="1" si="18"/>
        <v>0</v>
      </c>
      <c r="I71" s="1">
        <f t="shared" ca="1" si="21"/>
        <v>132</v>
      </c>
      <c r="J71" s="1">
        <f t="shared" ca="1" si="27"/>
        <v>50</v>
      </c>
      <c r="K71" s="1">
        <f t="shared" ca="1" si="19"/>
        <v>0</v>
      </c>
      <c r="L71" s="1">
        <f t="shared" ca="1" si="20"/>
        <v>82</v>
      </c>
      <c r="M71" s="1">
        <f ca="1">J71*'Data Considered'!$B$11</f>
        <v>5000</v>
      </c>
      <c r="N71" s="1">
        <f ca="1">Distributor!P71</f>
        <v>0</v>
      </c>
      <c r="O71" s="1">
        <f ca="1">H71*'Data Considered'!$B$12</f>
        <v>0</v>
      </c>
      <c r="P71" s="1">
        <f t="shared" ca="1" si="22"/>
        <v>-660</v>
      </c>
      <c r="Q71" s="1">
        <f ca="1">IF(A71=1,'Data Considered'!$B$18,Manufacturer!Q70+Manufacturer!P71)</f>
        <v>66655</v>
      </c>
      <c r="R71" s="1">
        <f ca="1">J71*'Data Considered'!$D$11</f>
        <v>250</v>
      </c>
      <c r="S71" s="1">
        <f ca="1">L71*'Data Considered'!$B$22</f>
        <v>410</v>
      </c>
      <c r="T71" s="1">
        <f ca="1">K71*'Data Considered'!$B$26</f>
        <v>0</v>
      </c>
      <c r="U71" s="1">
        <f t="shared" ca="1" si="23"/>
        <v>6</v>
      </c>
      <c r="V71" s="1">
        <f ca="1">U71+'Data Considered'!$B$15-0</f>
        <v>8</v>
      </c>
      <c r="W71" s="1">
        <f t="shared" ca="1" si="24"/>
        <v>250</v>
      </c>
      <c r="X71" s="1">
        <f t="shared" ca="1" si="25"/>
        <v>0</v>
      </c>
    </row>
    <row r="72" spans="1:24" x14ac:dyDescent="0.3">
      <c r="A72" s="1">
        <f t="shared" si="26"/>
        <v>71</v>
      </c>
      <c r="B72" s="1">
        <f ca="1">Distributor!H71</f>
        <v>20</v>
      </c>
      <c r="C72" s="1">
        <f t="shared" ca="1" si="14"/>
        <v>25</v>
      </c>
      <c r="D72" s="1">
        <f t="shared" ca="1" si="15"/>
        <v>75</v>
      </c>
      <c r="E72" s="1">
        <f t="shared" ca="1" si="16"/>
        <v>0</v>
      </c>
      <c r="F72" s="1">
        <f ca="1">IF(A72=1,'Data Considered'!$B$5,L71+E72)</f>
        <v>82</v>
      </c>
      <c r="G72" s="1">
        <f t="shared" ca="1" si="17"/>
        <v>82</v>
      </c>
      <c r="H72" s="1">
        <f t="shared" ca="1" si="18"/>
        <v>0</v>
      </c>
      <c r="I72" s="1">
        <f t="shared" ca="1" si="21"/>
        <v>82</v>
      </c>
      <c r="J72" s="1">
        <f t="shared" ca="1" si="27"/>
        <v>20</v>
      </c>
      <c r="K72" s="1">
        <f t="shared" ca="1" si="19"/>
        <v>0</v>
      </c>
      <c r="L72" s="1">
        <f t="shared" ca="1" si="20"/>
        <v>62</v>
      </c>
      <c r="M72" s="1">
        <f ca="1">J72*'Data Considered'!$B$11</f>
        <v>2000</v>
      </c>
      <c r="N72" s="1">
        <f ca="1">Distributor!P72</f>
        <v>0</v>
      </c>
      <c r="O72" s="1">
        <f ca="1">H72*'Data Considered'!$B$12</f>
        <v>0</v>
      </c>
      <c r="P72" s="1">
        <f t="shared" ca="1" si="22"/>
        <v>-410</v>
      </c>
      <c r="Q72" s="1">
        <f ca="1">IF(A72=1,'Data Considered'!$B$18,Manufacturer!Q71+Manufacturer!P72)</f>
        <v>66245</v>
      </c>
      <c r="R72" s="1">
        <f ca="1">J72*'Data Considered'!$D$11</f>
        <v>100</v>
      </c>
      <c r="S72" s="1">
        <f ca="1">L72*'Data Considered'!$B$22</f>
        <v>310</v>
      </c>
      <c r="T72" s="1">
        <f ca="1">K72*'Data Considered'!$B$26</f>
        <v>0</v>
      </c>
      <c r="U72" s="1">
        <f t="shared" ca="1" si="23"/>
        <v>4</v>
      </c>
      <c r="V72" s="1">
        <f ca="1">U72+'Data Considered'!$B$15-0</f>
        <v>6</v>
      </c>
      <c r="W72" s="1">
        <f t="shared" ca="1" si="24"/>
        <v>100</v>
      </c>
      <c r="X72" s="1">
        <f t="shared" ca="1" si="25"/>
        <v>0</v>
      </c>
    </row>
    <row r="73" spans="1:24" x14ac:dyDescent="0.3">
      <c r="A73" s="1">
        <f t="shared" si="26"/>
        <v>72</v>
      </c>
      <c r="B73" s="1">
        <f ca="1">Distributor!H72</f>
        <v>0</v>
      </c>
      <c r="C73" s="1">
        <f t="shared" ca="1" si="14"/>
        <v>35</v>
      </c>
      <c r="D73" s="1">
        <f t="shared" ca="1" si="15"/>
        <v>105</v>
      </c>
      <c r="E73" s="1">
        <f t="shared" ca="1" si="16"/>
        <v>0</v>
      </c>
      <c r="F73" s="1">
        <f ca="1">IF(A73=1,'Data Considered'!$B$5,L72+E73)</f>
        <v>62</v>
      </c>
      <c r="G73" s="1">
        <f t="shared" ca="1" si="17"/>
        <v>62</v>
      </c>
      <c r="H73" s="1">
        <f t="shared" ca="1" si="18"/>
        <v>43</v>
      </c>
      <c r="I73" s="1">
        <f t="shared" ca="1" si="21"/>
        <v>62</v>
      </c>
      <c r="J73" s="1">
        <f t="shared" ca="1" si="27"/>
        <v>0</v>
      </c>
      <c r="K73" s="1">
        <f t="shared" ca="1" si="19"/>
        <v>0</v>
      </c>
      <c r="L73" s="1">
        <f t="shared" ca="1" si="20"/>
        <v>62</v>
      </c>
      <c r="M73" s="1">
        <f ca="1">J73*'Data Considered'!$B$11</f>
        <v>0</v>
      </c>
      <c r="N73" s="1">
        <f ca="1">Distributor!P73</f>
        <v>0</v>
      </c>
      <c r="O73" s="1">
        <f ca="1">H73*'Data Considered'!$B$12</f>
        <v>2150</v>
      </c>
      <c r="P73" s="1">
        <f t="shared" ca="1" si="22"/>
        <v>-2460</v>
      </c>
      <c r="Q73" s="1">
        <f ca="1">IF(A73=1,'Data Considered'!$B$18,Manufacturer!Q72+Manufacturer!P73)</f>
        <v>63785</v>
      </c>
      <c r="R73" s="1">
        <f ca="1">J73*'Data Considered'!$D$11</f>
        <v>0</v>
      </c>
      <c r="S73" s="1">
        <f ca="1">L73*'Data Considered'!$B$22</f>
        <v>310</v>
      </c>
      <c r="T73" s="1">
        <f ca="1">K73*'Data Considered'!$B$26</f>
        <v>0</v>
      </c>
      <c r="U73" s="1">
        <f t="shared" ca="1" si="23"/>
        <v>4</v>
      </c>
      <c r="V73" s="1">
        <f ca="1">U73+'Data Considered'!$B$15-0</f>
        <v>6</v>
      </c>
      <c r="W73" s="1">
        <f t="shared" ca="1" si="24"/>
        <v>2150</v>
      </c>
      <c r="X73" s="1">
        <f t="shared" ca="1" si="25"/>
        <v>5000</v>
      </c>
    </row>
    <row r="74" spans="1:24" x14ac:dyDescent="0.3">
      <c r="A74" s="1">
        <f t="shared" si="26"/>
        <v>73</v>
      </c>
      <c r="B74" s="1">
        <f ca="1">Distributor!H73</f>
        <v>0</v>
      </c>
      <c r="C74" s="1">
        <f t="shared" ca="1" si="14"/>
        <v>10</v>
      </c>
      <c r="D74" s="1">
        <f t="shared" ca="1" si="15"/>
        <v>30</v>
      </c>
      <c r="E74" s="1">
        <f t="shared" ca="1" si="16"/>
        <v>0</v>
      </c>
      <c r="F74" s="1">
        <f ca="1">IF(A74=1,'Data Considered'!$B$5,L73+E74)</f>
        <v>62</v>
      </c>
      <c r="G74" s="1">
        <f t="shared" ca="1" si="17"/>
        <v>105</v>
      </c>
      <c r="H74" s="1">
        <f t="shared" ca="1" si="18"/>
        <v>0</v>
      </c>
      <c r="I74" s="1">
        <f t="shared" ca="1" si="21"/>
        <v>62</v>
      </c>
      <c r="J74" s="1">
        <f t="shared" ca="1" si="27"/>
        <v>0</v>
      </c>
      <c r="K74" s="1">
        <f t="shared" ca="1" si="19"/>
        <v>0</v>
      </c>
      <c r="L74" s="1">
        <f t="shared" ca="1" si="20"/>
        <v>62</v>
      </c>
      <c r="M74" s="1">
        <f ca="1">J74*'Data Considered'!$B$11</f>
        <v>0</v>
      </c>
      <c r="N74" s="1">
        <f ca="1">Distributor!P74</f>
        <v>5000</v>
      </c>
      <c r="O74" s="1">
        <f ca="1">H74*'Data Considered'!$B$12</f>
        <v>0</v>
      </c>
      <c r="P74" s="1">
        <f t="shared" ca="1" si="22"/>
        <v>4690</v>
      </c>
      <c r="Q74" s="1">
        <f ca="1">IF(A74=1,'Data Considered'!$B$18,Manufacturer!Q73+Manufacturer!P74)</f>
        <v>68475</v>
      </c>
      <c r="R74" s="1">
        <f ca="1">J74*'Data Considered'!$D$11</f>
        <v>0</v>
      </c>
      <c r="S74" s="1">
        <f ca="1">L74*'Data Considered'!$B$22</f>
        <v>310</v>
      </c>
      <c r="T74" s="1">
        <f ca="1">K74*'Data Considered'!$B$26</f>
        <v>0</v>
      </c>
      <c r="U74" s="1">
        <f t="shared" ca="1" si="23"/>
        <v>4</v>
      </c>
      <c r="V74" s="1">
        <f ca="1">U74+'Data Considered'!$B$15-0</f>
        <v>6</v>
      </c>
      <c r="W74" s="1">
        <f t="shared" ca="1" si="24"/>
        <v>0</v>
      </c>
      <c r="X74" s="1">
        <f t="shared" ca="1" si="25"/>
        <v>2000</v>
      </c>
    </row>
    <row r="75" spans="1:24" x14ac:dyDescent="0.3">
      <c r="A75" s="1">
        <f t="shared" si="26"/>
        <v>74</v>
      </c>
      <c r="B75" s="1">
        <f ca="1">Distributor!H74</f>
        <v>0</v>
      </c>
      <c r="C75" s="1">
        <f t="shared" ca="1" si="14"/>
        <v>0</v>
      </c>
      <c r="D75" s="1">
        <f t="shared" ca="1" si="15"/>
        <v>0</v>
      </c>
      <c r="E75" s="1">
        <f t="shared" ca="1" si="16"/>
        <v>43</v>
      </c>
      <c r="F75" s="1">
        <f ca="1">IF(A75=1,'Data Considered'!$B$5,L74+E75)</f>
        <v>105</v>
      </c>
      <c r="G75" s="1">
        <f t="shared" ca="1" si="17"/>
        <v>105</v>
      </c>
      <c r="H75" s="1">
        <f t="shared" ca="1" si="18"/>
        <v>0</v>
      </c>
      <c r="I75" s="1">
        <f t="shared" ca="1" si="21"/>
        <v>105</v>
      </c>
      <c r="J75" s="1">
        <f t="shared" ca="1" si="27"/>
        <v>0</v>
      </c>
      <c r="K75" s="1">
        <f t="shared" ca="1" si="19"/>
        <v>0</v>
      </c>
      <c r="L75" s="1">
        <f t="shared" ca="1" si="20"/>
        <v>105</v>
      </c>
      <c r="M75" s="1">
        <f ca="1">J75*'Data Considered'!$B$11</f>
        <v>0</v>
      </c>
      <c r="N75" s="1">
        <f ca="1">Distributor!P75</f>
        <v>2000</v>
      </c>
      <c r="O75" s="1">
        <f ca="1">H75*'Data Considered'!$B$12</f>
        <v>0</v>
      </c>
      <c r="P75" s="1">
        <f t="shared" ca="1" si="22"/>
        <v>1475</v>
      </c>
      <c r="Q75" s="1">
        <f ca="1">IF(A75=1,'Data Considered'!$B$18,Manufacturer!Q74+Manufacturer!P75)</f>
        <v>69950</v>
      </c>
      <c r="R75" s="1">
        <f ca="1">J75*'Data Considered'!$D$11</f>
        <v>0</v>
      </c>
      <c r="S75" s="1">
        <f ca="1">L75*'Data Considered'!$B$22</f>
        <v>525</v>
      </c>
      <c r="T75" s="1">
        <f ca="1">K75*'Data Considered'!$B$26</f>
        <v>0</v>
      </c>
      <c r="U75" s="1">
        <f t="shared" ca="1" si="23"/>
        <v>7</v>
      </c>
      <c r="V75" s="1">
        <f ca="1">U75+'Data Considered'!$B$15-0</f>
        <v>9</v>
      </c>
      <c r="W75" s="1">
        <f t="shared" ca="1" si="24"/>
        <v>0</v>
      </c>
      <c r="X75" s="1">
        <f t="shared" ca="1" si="25"/>
        <v>0</v>
      </c>
    </row>
    <row r="76" spans="1:24" x14ac:dyDescent="0.3">
      <c r="A76" s="1">
        <f t="shared" si="26"/>
        <v>75</v>
      </c>
      <c r="B76" s="1">
        <f ca="1">Distributor!H75</f>
        <v>59</v>
      </c>
      <c r="C76" s="1">
        <f t="shared" ca="1" si="14"/>
        <v>0</v>
      </c>
      <c r="D76" s="1">
        <f t="shared" ca="1" si="15"/>
        <v>0</v>
      </c>
      <c r="E76" s="1">
        <f t="shared" ca="1" si="16"/>
        <v>0</v>
      </c>
      <c r="F76" s="1">
        <f ca="1">IF(A76=1,'Data Considered'!$B$5,L75+E76)</f>
        <v>105</v>
      </c>
      <c r="G76" s="1">
        <f t="shared" ca="1" si="17"/>
        <v>105</v>
      </c>
      <c r="H76" s="1">
        <f t="shared" ca="1" si="18"/>
        <v>0</v>
      </c>
      <c r="I76" s="1">
        <f t="shared" ca="1" si="21"/>
        <v>105</v>
      </c>
      <c r="J76" s="1">
        <f t="shared" ca="1" si="27"/>
        <v>59</v>
      </c>
      <c r="K76" s="1">
        <f t="shared" ca="1" si="19"/>
        <v>0</v>
      </c>
      <c r="L76" s="1">
        <f t="shared" ca="1" si="20"/>
        <v>46</v>
      </c>
      <c r="M76" s="1">
        <f ca="1">J76*'Data Considered'!$B$11</f>
        <v>5900</v>
      </c>
      <c r="N76" s="1">
        <f ca="1">Distributor!P76</f>
        <v>0</v>
      </c>
      <c r="O76" s="1">
        <f ca="1">H76*'Data Considered'!$B$12</f>
        <v>0</v>
      </c>
      <c r="P76" s="1">
        <f t="shared" ca="1" si="22"/>
        <v>-525</v>
      </c>
      <c r="Q76" s="1">
        <f ca="1">IF(A76=1,'Data Considered'!$B$18,Manufacturer!Q75+Manufacturer!P76)</f>
        <v>69425</v>
      </c>
      <c r="R76" s="1">
        <f ca="1">J76*'Data Considered'!$D$11</f>
        <v>295</v>
      </c>
      <c r="S76" s="1">
        <f ca="1">L76*'Data Considered'!$B$22</f>
        <v>230</v>
      </c>
      <c r="T76" s="1">
        <f ca="1">K76*'Data Considered'!$B$26</f>
        <v>0</v>
      </c>
      <c r="U76" s="1">
        <f t="shared" ca="1" si="23"/>
        <v>3</v>
      </c>
      <c r="V76" s="1">
        <f ca="1">U76+'Data Considered'!$B$15-0</f>
        <v>5</v>
      </c>
      <c r="W76" s="1">
        <f t="shared" ca="1" si="24"/>
        <v>295</v>
      </c>
      <c r="X76" s="1">
        <f t="shared" ca="1" si="25"/>
        <v>0</v>
      </c>
    </row>
    <row r="77" spans="1:24" x14ac:dyDescent="0.3">
      <c r="A77" s="1">
        <f t="shared" si="26"/>
        <v>76</v>
      </c>
      <c r="B77" s="1">
        <f ca="1">Distributor!H76</f>
        <v>22</v>
      </c>
      <c r="C77" s="1">
        <f t="shared" ca="1" si="14"/>
        <v>30</v>
      </c>
      <c r="D77" s="1">
        <f t="shared" ca="1" si="15"/>
        <v>90</v>
      </c>
      <c r="E77" s="1">
        <f t="shared" ca="1" si="16"/>
        <v>0</v>
      </c>
      <c r="F77" s="1">
        <f ca="1">IF(A77=1,'Data Considered'!$B$5,L76+E77)</f>
        <v>46</v>
      </c>
      <c r="G77" s="1">
        <f t="shared" ca="1" si="17"/>
        <v>46</v>
      </c>
      <c r="H77" s="1">
        <f t="shared" ca="1" si="18"/>
        <v>44</v>
      </c>
      <c r="I77" s="1">
        <f t="shared" ca="1" si="21"/>
        <v>46</v>
      </c>
      <c r="J77" s="1">
        <f t="shared" ca="1" si="27"/>
        <v>22</v>
      </c>
      <c r="K77" s="1">
        <f t="shared" ca="1" si="19"/>
        <v>0</v>
      </c>
      <c r="L77" s="1">
        <f t="shared" ca="1" si="20"/>
        <v>24</v>
      </c>
      <c r="M77" s="1">
        <f ca="1">J77*'Data Considered'!$B$11</f>
        <v>2200</v>
      </c>
      <c r="N77" s="1">
        <f ca="1">Distributor!P77</f>
        <v>0</v>
      </c>
      <c r="O77" s="1">
        <f ca="1">H77*'Data Considered'!$B$12</f>
        <v>2200</v>
      </c>
      <c r="P77" s="1">
        <f t="shared" ca="1" si="22"/>
        <v>-2430</v>
      </c>
      <c r="Q77" s="1">
        <f ca="1">IF(A77=1,'Data Considered'!$B$18,Manufacturer!Q76+Manufacturer!P77)</f>
        <v>66995</v>
      </c>
      <c r="R77" s="1">
        <f ca="1">J77*'Data Considered'!$D$11</f>
        <v>110</v>
      </c>
      <c r="S77" s="1">
        <f ca="1">L77*'Data Considered'!$B$22</f>
        <v>120</v>
      </c>
      <c r="T77" s="1">
        <f ca="1">K77*'Data Considered'!$B$26</f>
        <v>0</v>
      </c>
      <c r="U77" s="1">
        <f t="shared" ca="1" si="23"/>
        <v>2</v>
      </c>
      <c r="V77" s="1">
        <f ca="1">U77+'Data Considered'!$B$15-0</f>
        <v>4</v>
      </c>
      <c r="W77" s="1">
        <f t="shared" ca="1" si="24"/>
        <v>2310</v>
      </c>
      <c r="X77" s="1">
        <f t="shared" ca="1" si="25"/>
        <v>0</v>
      </c>
    </row>
    <row r="78" spans="1:24" x14ac:dyDescent="0.3">
      <c r="A78" s="1">
        <f t="shared" si="26"/>
        <v>77</v>
      </c>
      <c r="B78" s="1">
        <f ca="1">Distributor!H77</f>
        <v>0</v>
      </c>
      <c r="C78" s="1">
        <f t="shared" ca="1" si="14"/>
        <v>41</v>
      </c>
      <c r="D78" s="1">
        <f t="shared" ca="1" si="15"/>
        <v>123</v>
      </c>
      <c r="E78" s="1">
        <f t="shared" ca="1" si="16"/>
        <v>0</v>
      </c>
      <c r="F78" s="1">
        <f ca="1">IF(A78=1,'Data Considered'!$B$5,L77+E78)</f>
        <v>24</v>
      </c>
      <c r="G78" s="1">
        <f t="shared" ca="1" si="17"/>
        <v>68</v>
      </c>
      <c r="H78" s="1">
        <f t="shared" ca="1" si="18"/>
        <v>55</v>
      </c>
      <c r="I78" s="1">
        <f t="shared" ca="1" si="21"/>
        <v>24</v>
      </c>
      <c r="J78" s="1">
        <f t="shared" ca="1" si="27"/>
        <v>0</v>
      </c>
      <c r="K78" s="1">
        <f t="shared" ca="1" si="19"/>
        <v>0</v>
      </c>
      <c r="L78" s="1">
        <f t="shared" ca="1" si="20"/>
        <v>24</v>
      </c>
      <c r="M78" s="1">
        <f ca="1">J78*'Data Considered'!$B$11</f>
        <v>0</v>
      </c>
      <c r="N78" s="1">
        <f ca="1">Distributor!P78</f>
        <v>0</v>
      </c>
      <c r="O78" s="1">
        <f ca="1">H78*'Data Considered'!$B$12</f>
        <v>2750</v>
      </c>
      <c r="P78" s="1">
        <f t="shared" ca="1" si="22"/>
        <v>-2870</v>
      </c>
      <c r="Q78" s="1">
        <f ca="1">IF(A78=1,'Data Considered'!$B$18,Manufacturer!Q77+Manufacturer!P78)</f>
        <v>64125</v>
      </c>
      <c r="R78" s="1">
        <f ca="1">J78*'Data Considered'!$D$11</f>
        <v>0</v>
      </c>
      <c r="S78" s="1">
        <f ca="1">L78*'Data Considered'!$B$22</f>
        <v>120</v>
      </c>
      <c r="T78" s="1">
        <f ca="1">K78*'Data Considered'!$B$26</f>
        <v>0</v>
      </c>
      <c r="U78" s="1">
        <f t="shared" ca="1" si="23"/>
        <v>2</v>
      </c>
      <c r="V78" s="1">
        <f ca="1">U78+'Data Considered'!$B$15-0</f>
        <v>4</v>
      </c>
      <c r="W78" s="1">
        <f t="shared" ca="1" si="24"/>
        <v>2750</v>
      </c>
      <c r="X78" s="1">
        <f t="shared" ca="1" si="25"/>
        <v>5900</v>
      </c>
    </row>
    <row r="79" spans="1:24" x14ac:dyDescent="0.3">
      <c r="A79" s="1">
        <f t="shared" si="26"/>
        <v>78</v>
      </c>
      <c r="B79" s="1">
        <f ca="1">Distributor!H78</f>
        <v>0</v>
      </c>
      <c r="C79" s="1">
        <f t="shared" ca="1" si="14"/>
        <v>11</v>
      </c>
      <c r="D79" s="1">
        <f t="shared" ca="1" si="15"/>
        <v>33</v>
      </c>
      <c r="E79" s="1">
        <f t="shared" ca="1" si="16"/>
        <v>44</v>
      </c>
      <c r="F79" s="1">
        <f ca="1">IF(A79=1,'Data Considered'!$B$5,L78+E79)</f>
        <v>68</v>
      </c>
      <c r="G79" s="1">
        <f t="shared" ca="1" si="17"/>
        <v>123</v>
      </c>
      <c r="H79" s="1">
        <f t="shared" ca="1" si="18"/>
        <v>0</v>
      </c>
      <c r="I79" s="1">
        <f t="shared" ca="1" si="21"/>
        <v>68</v>
      </c>
      <c r="J79" s="1">
        <f t="shared" ca="1" si="27"/>
        <v>0</v>
      </c>
      <c r="K79" s="1">
        <f t="shared" ca="1" si="19"/>
        <v>0</v>
      </c>
      <c r="L79" s="1">
        <f t="shared" ca="1" si="20"/>
        <v>68</v>
      </c>
      <c r="M79" s="1">
        <f ca="1">J79*'Data Considered'!$B$11</f>
        <v>0</v>
      </c>
      <c r="N79" s="1">
        <f ca="1">Distributor!P79</f>
        <v>5900</v>
      </c>
      <c r="O79" s="1">
        <f ca="1">H79*'Data Considered'!$B$12</f>
        <v>0</v>
      </c>
      <c r="P79" s="1">
        <f t="shared" ca="1" si="22"/>
        <v>5560</v>
      </c>
      <c r="Q79" s="1">
        <f ca="1">IF(A79=1,'Data Considered'!$B$18,Manufacturer!Q78+Manufacturer!P79)</f>
        <v>69685</v>
      </c>
      <c r="R79" s="1">
        <f ca="1">J79*'Data Considered'!$D$11</f>
        <v>0</v>
      </c>
      <c r="S79" s="1">
        <f ca="1">L79*'Data Considered'!$B$22</f>
        <v>340</v>
      </c>
      <c r="T79" s="1">
        <f ca="1">K79*'Data Considered'!$B$26</f>
        <v>0</v>
      </c>
      <c r="U79" s="1">
        <f t="shared" ca="1" si="23"/>
        <v>5</v>
      </c>
      <c r="V79" s="1">
        <f ca="1">U79+'Data Considered'!$B$15-0</f>
        <v>7</v>
      </c>
      <c r="W79" s="1">
        <f t="shared" ca="1" si="24"/>
        <v>0</v>
      </c>
      <c r="X79" s="1">
        <f t="shared" ca="1" si="25"/>
        <v>2200</v>
      </c>
    </row>
    <row r="80" spans="1:24" x14ac:dyDescent="0.3">
      <c r="A80" s="1">
        <f t="shared" si="26"/>
        <v>79</v>
      </c>
      <c r="B80" s="1">
        <f ca="1">Distributor!H79</f>
        <v>69</v>
      </c>
      <c r="C80" s="1">
        <f t="shared" ca="1" si="14"/>
        <v>0</v>
      </c>
      <c r="D80" s="1">
        <f t="shared" ca="1" si="15"/>
        <v>0</v>
      </c>
      <c r="E80" s="1">
        <f t="shared" ca="1" si="16"/>
        <v>55</v>
      </c>
      <c r="F80" s="1">
        <f ca="1">IF(A80=1,'Data Considered'!$B$5,L79+E80)</f>
        <v>123</v>
      </c>
      <c r="G80" s="1">
        <f t="shared" ca="1" si="17"/>
        <v>123</v>
      </c>
      <c r="H80" s="1">
        <f t="shared" ca="1" si="18"/>
        <v>0</v>
      </c>
      <c r="I80" s="1">
        <f t="shared" ca="1" si="21"/>
        <v>123</v>
      </c>
      <c r="J80" s="1">
        <f t="shared" ca="1" si="27"/>
        <v>69</v>
      </c>
      <c r="K80" s="1">
        <f t="shared" ca="1" si="19"/>
        <v>0</v>
      </c>
      <c r="L80" s="1">
        <f t="shared" ca="1" si="20"/>
        <v>54</v>
      </c>
      <c r="M80" s="1">
        <f ca="1">J80*'Data Considered'!$B$11</f>
        <v>6900</v>
      </c>
      <c r="N80" s="1">
        <f ca="1">Distributor!P80</f>
        <v>2200</v>
      </c>
      <c r="O80" s="1">
        <f ca="1">H80*'Data Considered'!$B$12</f>
        <v>0</v>
      </c>
      <c r="P80" s="1">
        <f t="shared" ca="1" si="22"/>
        <v>1585</v>
      </c>
      <c r="Q80" s="1">
        <f ca="1">IF(A80=1,'Data Considered'!$B$18,Manufacturer!Q79+Manufacturer!P80)</f>
        <v>71270</v>
      </c>
      <c r="R80" s="1">
        <f ca="1">J80*'Data Considered'!$D$11</f>
        <v>345</v>
      </c>
      <c r="S80" s="1">
        <f ca="1">L80*'Data Considered'!$B$22</f>
        <v>270</v>
      </c>
      <c r="T80" s="1">
        <f ca="1">K80*'Data Considered'!$B$26</f>
        <v>0</v>
      </c>
      <c r="U80" s="1">
        <f t="shared" ca="1" si="23"/>
        <v>4</v>
      </c>
      <c r="V80" s="1">
        <f ca="1">U80+'Data Considered'!$B$15-0</f>
        <v>6</v>
      </c>
      <c r="W80" s="1">
        <f t="shared" ca="1" si="24"/>
        <v>345</v>
      </c>
      <c r="X80" s="1">
        <f t="shared" ca="1" si="25"/>
        <v>0</v>
      </c>
    </row>
    <row r="81" spans="1:24" x14ac:dyDescent="0.3">
      <c r="A81" s="1">
        <f t="shared" si="26"/>
        <v>80</v>
      </c>
      <c r="B81" s="1">
        <f ca="1">Distributor!H80</f>
        <v>0</v>
      </c>
      <c r="C81" s="1">
        <f t="shared" ca="1" si="14"/>
        <v>35</v>
      </c>
      <c r="D81" s="1">
        <f t="shared" ca="1" si="15"/>
        <v>105</v>
      </c>
      <c r="E81" s="1">
        <f t="shared" ca="1" si="16"/>
        <v>0</v>
      </c>
      <c r="F81" s="1">
        <f ca="1">IF(A81=1,'Data Considered'!$B$5,L80+E81)</f>
        <v>54</v>
      </c>
      <c r="G81" s="1">
        <f t="shared" ca="1" si="17"/>
        <v>54</v>
      </c>
      <c r="H81" s="1">
        <f t="shared" ca="1" si="18"/>
        <v>51</v>
      </c>
      <c r="I81" s="1">
        <f t="shared" ca="1" si="21"/>
        <v>54</v>
      </c>
      <c r="J81" s="1">
        <f t="shared" ca="1" si="27"/>
        <v>0</v>
      </c>
      <c r="K81" s="1">
        <f t="shared" ca="1" si="19"/>
        <v>0</v>
      </c>
      <c r="L81" s="1">
        <f t="shared" ca="1" si="20"/>
        <v>54</v>
      </c>
      <c r="M81" s="1">
        <f ca="1">J81*'Data Considered'!$B$11</f>
        <v>0</v>
      </c>
      <c r="N81" s="1">
        <f ca="1">Distributor!P81</f>
        <v>0</v>
      </c>
      <c r="O81" s="1">
        <f ca="1">H81*'Data Considered'!$B$12</f>
        <v>2550</v>
      </c>
      <c r="P81" s="1">
        <f t="shared" ca="1" si="22"/>
        <v>-2820</v>
      </c>
      <c r="Q81" s="1">
        <f ca="1">IF(A81=1,'Data Considered'!$B$18,Manufacturer!Q80+Manufacturer!P81)</f>
        <v>68450</v>
      </c>
      <c r="R81" s="1">
        <f ca="1">J81*'Data Considered'!$D$11</f>
        <v>0</v>
      </c>
      <c r="S81" s="1">
        <f ca="1">L81*'Data Considered'!$B$22</f>
        <v>270</v>
      </c>
      <c r="T81" s="1">
        <f ca="1">K81*'Data Considered'!$B$26</f>
        <v>0</v>
      </c>
      <c r="U81" s="1">
        <f t="shared" ca="1" si="23"/>
        <v>4</v>
      </c>
      <c r="V81" s="1">
        <f ca="1">U81+'Data Considered'!$B$15-0</f>
        <v>6</v>
      </c>
      <c r="W81" s="1">
        <f t="shared" ca="1" si="24"/>
        <v>2550</v>
      </c>
      <c r="X81" s="1">
        <f t="shared" ca="1" si="25"/>
        <v>0</v>
      </c>
    </row>
    <row r="82" spans="1:24" x14ac:dyDescent="0.3">
      <c r="A82" s="1">
        <f t="shared" si="26"/>
        <v>81</v>
      </c>
      <c r="B82" s="1">
        <f ca="1">Distributor!H81</f>
        <v>0</v>
      </c>
      <c r="C82" s="1">
        <f t="shared" ca="1" si="14"/>
        <v>35</v>
      </c>
      <c r="D82" s="1">
        <f t="shared" ca="1" si="15"/>
        <v>105</v>
      </c>
      <c r="E82" s="1">
        <f t="shared" ca="1" si="16"/>
        <v>0</v>
      </c>
      <c r="F82" s="1">
        <f ca="1">IF(A82=1,'Data Considered'!$B$5,L81+E82)</f>
        <v>54</v>
      </c>
      <c r="G82" s="1">
        <f t="shared" ca="1" si="17"/>
        <v>105</v>
      </c>
      <c r="H82" s="1">
        <f t="shared" ca="1" si="18"/>
        <v>0</v>
      </c>
      <c r="I82" s="1">
        <f t="shared" ca="1" si="21"/>
        <v>54</v>
      </c>
      <c r="J82" s="1">
        <f t="shared" ca="1" si="27"/>
        <v>0</v>
      </c>
      <c r="K82" s="1">
        <f t="shared" ca="1" si="19"/>
        <v>0</v>
      </c>
      <c r="L82" s="1">
        <f t="shared" ca="1" si="20"/>
        <v>54</v>
      </c>
      <c r="M82" s="1">
        <f ca="1">J82*'Data Considered'!$B$11</f>
        <v>0</v>
      </c>
      <c r="N82" s="1">
        <f ca="1">Distributor!P82</f>
        <v>0</v>
      </c>
      <c r="O82" s="1">
        <f ca="1">H82*'Data Considered'!$B$12</f>
        <v>0</v>
      </c>
      <c r="P82" s="1">
        <f t="shared" ca="1" si="22"/>
        <v>-270</v>
      </c>
      <c r="Q82" s="1">
        <f ca="1">IF(A82=1,'Data Considered'!$B$18,Manufacturer!Q81+Manufacturer!P82)</f>
        <v>68180</v>
      </c>
      <c r="R82" s="1">
        <f ca="1">J82*'Data Considered'!$D$11</f>
        <v>0</v>
      </c>
      <c r="S82" s="1">
        <f ca="1">L82*'Data Considered'!$B$22</f>
        <v>270</v>
      </c>
      <c r="T82" s="1">
        <f ca="1">K82*'Data Considered'!$B$26</f>
        <v>0</v>
      </c>
      <c r="U82" s="1">
        <f t="shared" ca="1" si="23"/>
        <v>4</v>
      </c>
      <c r="V82" s="1">
        <f ca="1">U82+'Data Considered'!$B$15-0</f>
        <v>6</v>
      </c>
      <c r="W82" s="1">
        <f t="shared" ca="1" si="24"/>
        <v>0</v>
      </c>
      <c r="X82" s="1">
        <f t="shared" ca="1" si="25"/>
        <v>6900</v>
      </c>
    </row>
    <row r="83" spans="1:24" x14ac:dyDescent="0.3">
      <c r="A83" s="1">
        <f t="shared" si="26"/>
        <v>82</v>
      </c>
      <c r="B83" s="1">
        <f ca="1">Distributor!H82</f>
        <v>25</v>
      </c>
      <c r="C83" s="1">
        <f t="shared" ca="1" si="14"/>
        <v>0</v>
      </c>
      <c r="D83" s="1">
        <f t="shared" ca="1" si="15"/>
        <v>0</v>
      </c>
      <c r="E83" s="1">
        <f t="shared" ca="1" si="16"/>
        <v>51</v>
      </c>
      <c r="F83" s="1">
        <f ca="1">IF(A83=1,'Data Considered'!$B$5,L82+E83)</f>
        <v>105</v>
      </c>
      <c r="G83" s="1">
        <f t="shared" ca="1" si="17"/>
        <v>105</v>
      </c>
      <c r="H83" s="1">
        <f t="shared" ca="1" si="18"/>
        <v>0</v>
      </c>
      <c r="I83" s="1">
        <f t="shared" ca="1" si="21"/>
        <v>105</v>
      </c>
      <c r="J83" s="1">
        <f t="shared" ca="1" si="27"/>
        <v>25</v>
      </c>
      <c r="K83" s="1">
        <f t="shared" ca="1" si="19"/>
        <v>0</v>
      </c>
      <c r="L83" s="1">
        <f t="shared" ca="1" si="20"/>
        <v>80</v>
      </c>
      <c r="M83" s="1">
        <f ca="1">J83*'Data Considered'!$B$11</f>
        <v>2500</v>
      </c>
      <c r="N83" s="1">
        <f ca="1">Distributor!P83</f>
        <v>6900</v>
      </c>
      <c r="O83" s="1">
        <f ca="1">H83*'Data Considered'!$B$12</f>
        <v>0</v>
      </c>
      <c r="P83" s="1">
        <f t="shared" ca="1" si="22"/>
        <v>6375</v>
      </c>
      <c r="Q83" s="1">
        <f ca="1">IF(A83=1,'Data Considered'!$B$18,Manufacturer!Q82+Manufacturer!P83)</f>
        <v>74555</v>
      </c>
      <c r="R83" s="1">
        <f ca="1">J83*'Data Considered'!$D$11</f>
        <v>125</v>
      </c>
      <c r="S83" s="1">
        <f ca="1">L83*'Data Considered'!$B$22</f>
        <v>400</v>
      </c>
      <c r="T83" s="1">
        <f ca="1">K83*'Data Considered'!$B$26</f>
        <v>0</v>
      </c>
      <c r="U83" s="1">
        <f t="shared" ca="1" si="23"/>
        <v>5</v>
      </c>
      <c r="V83" s="1">
        <f ca="1">U83+'Data Considered'!$B$15-0</f>
        <v>7</v>
      </c>
      <c r="W83" s="1">
        <f t="shared" ca="1" si="24"/>
        <v>125</v>
      </c>
      <c r="X83" s="1">
        <f t="shared" ca="1" si="25"/>
        <v>0</v>
      </c>
    </row>
    <row r="84" spans="1:24" x14ac:dyDescent="0.3">
      <c r="A84" s="1">
        <f t="shared" si="26"/>
        <v>83</v>
      </c>
      <c r="B84" s="1">
        <f ca="1">Distributor!H83</f>
        <v>1</v>
      </c>
      <c r="C84" s="1">
        <f t="shared" ca="1" si="14"/>
        <v>13</v>
      </c>
      <c r="D84" s="1">
        <f t="shared" ca="1" si="15"/>
        <v>39</v>
      </c>
      <c r="E84" s="1">
        <f t="shared" ca="1" si="16"/>
        <v>0</v>
      </c>
      <c r="F84" s="1">
        <f ca="1">IF(A84=1,'Data Considered'!$B$5,L83+E84)</f>
        <v>80</v>
      </c>
      <c r="G84" s="1">
        <f t="shared" ca="1" si="17"/>
        <v>80</v>
      </c>
      <c r="H84" s="1">
        <f t="shared" ca="1" si="18"/>
        <v>0</v>
      </c>
      <c r="I84" s="1">
        <f t="shared" ca="1" si="21"/>
        <v>80</v>
      </c>
      <c r="J84" s="1">
        <f t="shared" ca="1" si="27"/>
        <v>1</v>
      </c>
      <c r="K84" s="1">
        <f t="shared" ca="1" si="19"/>
        <v>0</v>
      </c>
      <c r="L84" s="1">
        <f t="shared" ca="1" si="20"/>
        <v>79</v>
      </c>
      <c r="M84" s="1">
        <f ca="1">J84*'Data Considered'!$B$11</f>
        <v>100</v>
      </c>
      <c r="N84" s="1">
        <f ca="1">Distributor!P84</f>
        <v>0</v>
      </c>
      <c r="O84" s="1">
        <f ca="1">H84*'Data Considered'!$B$12</f>
        <v>0</v>
      </c>
      <c r="P84" s="1">
        <f t="shared" ca="1" si="22"/>
        <v>-400</v>
      </c>
      <c r="Q84" s="1">
        <f ca="1">IF(A84=1,'Data Considered'!$B$18,Manufacturer!Q83+Manufacturer!P84)</f>
        <v>74155</v>
      </c>
      <c r="R84" s="1">
        <f ca="1">J84*'Data Considered'!$D$11</f>
        <v>5</v>
      </c>
      <c r="S84" s="1">
        <f ca="1">L84*'Data Considered'!$B$22</f>
        <v>395</v>
      </c>
      <c r="T84" s="1">
        <f ca="1">K84*'Data Considered'!$B$26</f>
        <v>0</v>
      </c>
      <c r="U84" s="1">
        <f t="shared" ca="1" si="23"/>
        <v>5</v>
      </c>
      <c r="V84" s="1">
        <f ca="1">U84+'Data Considered'!$B$15-0</f>
        <v>7</v>
      </c>
      <c r="W84" s="1">
        <f t="shared" ca="1" si="24"/>
        <v>5</v>
      </c>
      <c r="X84" s="1">
        <f t="shared" ca="1" si="25"/>
        <v>0</v>
      </c>
    </row>
    <row r="85" spans="1:24" x14ac:dyDescent="0.3">
      <c r="A85" s="1">
        <f t="shared" si="26"/>
        <v>84</v>
      </c>
      <c r="B85" s="1">
        <f ca="1">Distributor!H84</f>
        <v>28</v>
      </c>
      <c r="C85" s="1">
        <f t="shared" ca="1" si="14"/>
        <v>13</v>
      </c>
      <c r="D85" s="1">
        <f t="shared" ca="1" si="15"/>
        <v>39</v>
      </c>
      <c r="E85" s="1">
        <f t="shared" ca="1" si="16"/>
        <v>0</v>
      </c>
      <c r="F85" s="1">
        <f ca="1">IF(A85=1,'Data Considered'!$B$5,L84+E85)</f>
        <v>79</v>
      </c>
      <c r="G85" s="1">
        <f t="shared" ca="1" si="17"/>
        <v>79</v>
      </c>
      <c r="H85" s="1">
        <f t="shared" ca="1" si="18"/>
        <v>0</v>
      </c>
      <c r="I85" s="1">
        <f t="shared" ca="1" si="21"/>
        <v>79</v>
      </c>
      <c r="J85" s="1">
        <f t="shared" ca="1" si="27"/>
        <v>28</v>
      </c>
      <c r="K85" s="1">
        <f t="shared" ca="1" si="19"/>
        <v>0</v>
      </c>
      <c r="L85" s="1">
        <f t="shared" ca="1" si="20"/>
        <v>51</v>
      </c>
      <c r="M85" s="1">
        <f ca="1">J85*'Data Considered'!$B$11</f>
        <v>2800</v>
      </c>
      <c r="N85" s="1">
        <f ca="1">Distributor!P85</f>
        <v>0</v>
      </c>
      <c r="O85" s="1">
        <f ca="1">H85*'Data Considered'!$B$12</f>
        <v>0</v>
      </c>
      <c r="P85" s="1">
        <f t="shared" ca="1" si="22"/>
        <v>-395</v>
      </c>
      <c r="Q85" s="1">
        <f ca="1">IF(A85=1,'Data Considered'!$B$18,Manufacturer!Q84+Manufacturer!P85)</f>
        <v>73760</v>
      </c>
      <c r="R85" s="1">
        <f ca="1">J85*'Data Considered'!$D$11</f>
        <v>140</v>
      </c>
      <c r="S85" s="1">
        <f ca="1">L85*'Data Considered'!$B$22</f>
        <v>255</v>
      </c>
      <c r="T85" s="1">
        <f ca="1">K85*'Data Considered'!$B$26</f>
        <v>0</v>
      </c>
      <c r="U85" s="1">
        <f t="shared" ca="1" si="23"/>
        <v>4</v>
      </c>
      <c r="V85" s="1">
        <f ca="1">U85+'Data Considered'!$B$15-0</f>
        <v>6</v>
      </c>
      <c r="W85" s="1">
        <f t="shared" ca="1" si="24"/>
        <v>140</v>
      </c>
      <c r="X85" s="1">
        <f t="shared" ca="1" si="25"/>
        <v>2500</v>
      </c>
    </row>
    <row r="86" spans="1:24" x14ac:dyDescent="0.3">
      <c r="A86" s="1">
        <f t="shared" si="26"/>
        <v>85</v>
      </c>
      <c r="B86" s="1">
        <f ca="1">Distributor!H85</f>
        <v>0</v>
      </c>
      <c r="C86" s="1">
        <f t="shared" ca="1" si="14"/>
        <v>15</v>
      </c>
      <c r="D86" s="1">
        <f t="shared" ca="1" si="15"/>
        <v>45</v>
      </c>
      <c r="E86" s="1">
        <f t="shared" ca="1" si="16"/>
        <v>0</v>
      </c>
      <c r="F86" s="1">
        <f ca="1">IF(A86=1,'Data Considered'!$B$5,L85+E86)</f>
        <v>51</v>
      </c>
      <c r="G86" s="1">
        <f t="shared" ca="1" si="17"/>
        <v>51</v>
      </c>
      <c r="H86" s="1">
        <f t="shared" ca="1" si="18"/>
        <v>0</v>
      </c>
      <c r="I86" s="1">
        <f t="shared" ca="1" si="21"/>
        <v>51</v>
      </c>
      <c r="J86" s="1">
        <f t="shared" ca="1" si="27"/>
        <v>0</v>
      </c>
      <c r="K86" s="1">
        <f t="shared" ca="1" si="19"/>
        <v>0</v>
      </c>
      <c r="L86" s="1">
        <f t="shared" ca="1" si="20"/>
        <v>51</v>
      </c>
      <c r="M86" s="1">
        <f ca="1">J86*'Data Considered'!$B$11</f>
        <v>0</v>
      </c>
      <c r="N86" s="1">
        <f ca="1">Distributor!P86</f>
        <v>2500</v>
      </c>
      <c r="O86" s="1">
        <f ca="1">H86*'Data Considered'!$B$12</f>
        <v>0</v>
      </c>
      <c r="P86" s="1">
        <f t="shared" ca="1" si="22"/>
        <v>2245</v>
      </c>
      <c r="Q86" s="1">
        <f ca="1">IF(A86=1,'Data Considered'!$B$18,Manufacturer!Q85+Manufacturer!P86)</f>
        <v>76005</v>
      </c>
      <c r="R86" s="1">
        <f ca="1">J86*'Data Considered'!$D$11</f>
        <v>0</v>
      </c>
      <c r="S86" s="1">
        <f ca="1">L86*'Data Considered'!$B$22</f>
        <v>255</v>
      </c>
      <c r="T86" s="1">
        <f ca="1">K86*'Data Considered'!$B$26</f>
        <v>0</v>
      </c>
      <c r="U86" s="1">
        <f t="shared" ca="1" si="23"/>
        <v>4</v>
      </c>
      <c r="V86" s="1">
        <f ca="1">U86+'Data Considered'!$B$15-0</f>
        <v>6</v>
      </c>
      <c r="W86" s="1">
        <f t="shared" ca="1" si="24"/>
        <v>0</v>
      </c>
      <c r="X86" s="1">
        <f t="shared" ca="1" si="25"/>
        <v>100</v>
      </c>
    </row>
    <row r="87" spans="1:24" x14ac:dyDescent="0.3">
      <c r="A87" s="1">
        <f t="shared" si="26"/>
        <v>86</v>
      </c>
      <c r="B87" s="1">
        <f ca="1">Distributor!H86</f>
        <v>1</v>
      </c>
      <c r="C87" s="1">
        <f t="shared" ca="1" si="14"/>
        <v>14</v>
      </c>
      <c r="D87" s="1">
        <f t="shared" ca="1" si="15"/>
        <v>42</v>
      </c>
      <c r="E87" s="1">
        <f t="shared" ca="1" si="16"/>
        <v>0</v>
      </c>
      <c r="F87" s="1">
        <f ca="1">IF(A87=1,'Data Considered'!$B$5,L86+E87)</f>
        <v>51</v>
      </c>
      <c r="G87" s="1">
        <f t="shared" ca="1" si="17"/>
        <v>51</v>
      </c>
      <c r="H87" s="1">
        <f t="shared" ca="1" si="18"/>
        <v>0</v>
      </c>
      <c r="I87" s="1">
        <f t="shared" ca="1" si="21"/>
        <v>51</v>
      </c>
      <c r="J87" s="1">
        <f t="shared" ca="1" si="27"/>
        <v>1</v>
      </c>
      <c r="K87" s="1">
        <f t="shared" ca="1" si="19"/>
        <v>0</v>
      </c>
      <c r="L87" s="1">
        <f t="shared" ca="1" si="20"/>
        <v>50</v>
      </c>
      <c r="M87" s="1">
        <f ca="1">J87*'Data Considered'!$B$11</f>
        <v>100</v>
      </c>
      <c r="N87" s="1">
        <f ca="1">Distributor!P87</f>
        <v>100</v>
      </c>
      <c r="O87" s="1">
        <f ca="1">H87*'Data Considered'!$B$12</f>
        <v>0</v>
      </c>
      <c r="P87" s="1">
        <f t="shared" ca="1" si="22"/>
        <v>-155</v>
      </c>
      <c r="Q87" s="1">
        <f ca="1">IF(A87=1,'Data Considered'!$B$18,Manufacturer!Q86+Manufacturer!P87)</f>
        <v>75850</v>
      </c>
      <c r="R87" s="1">
        <f ca="1">J87*'Data Considered'!$D$11</f>
        <v>5</v>
      </c>
      <c r="S87" s="1">
        <f ca="1">L87*'Data Considered'!$B$22</f>
        <v>250</v>
      </c>
      <c r="T87" s="1">
        <f ca="1">K87*'Data Considered'!$B$26</f>
        <v>0</v>
      </c>
      <c r="U87" s="1">
        <f t="shared" ca="1" si="23"/>
        <v>4</v>
      </c>
      <c r="V87" s="1">
        <f ca="1">U87+'Data Considered'!$B$15-0</f>
        <v>6</v>
      </c>
      <c r="W87" s="1">
        <f t="shared" ca="1" si="24"/>
        <v>5</v>
      </c>
      <c r="X87" s="1">
        <f t="shared" ca="1" si="25"/>
        <v>2800</v>
      </c>
    </row>
    <row r="88" spans="1:24" x14ac:dyDescent="0.3">
      <c r="A88" s="1">
        <f t="shared" si="26"/>
        <v>87</v>
      </c>
      <c r="B88" s="1">
        <f ca="1">Distributor!H87</f>
        <v>52</v>
      </c>
      <c r="C88" s="1">
        <f t="shared" ca="1" si="14"/>
        <v>1</v>
      </c>
      <c r="D88" s="1">
        <f t="shared" ca="1" si="15"/>
        <v>3</v>
      </c>
      <c r="E88" s="1">
        <f t="shared" ca="1" si="16"/>
        <v>0</v>
      </c>
      <c r="F88" s="1">
        <f ca="1">IF(A88=1,'Data Considered'!$B$5,L87+E88)</f>
        <v>50</v>
      </c>
      <c r="G88" s="1">
        <f t="shared" ca="1" si="17"/>
        <v>50</v>
      </c>
      <c r="H88" s="1">
        <f t="shared" ca="1" si="18"/>
        <v>0</v>
      </c>
      <c r="I88" s="1">
        <f t="shared" ca="1" si="21"/>
        <v>50</v>
      </c>
      <c r="J88" s="1">
        <f t="shared" ca="1" si="27"/>
        <v>50</v>
      </c>
      <c r="K88" s="1">
        <f t="shared" ca="1" si="19"/>
        <v>2</v>
      </c>
      <c r="L88" s="1">
        <f t="shared" ca="1" si="20"/>
        <v>0</v>
      </c>
      <c r="M88" s="1">
        <f ca="1">J88*'Data Considered'!$B$11</f>
        <v>5000</v>
      </c>
      <c r="N88" s="1">
        <f ca="1">Distributor!P88</f>
        <v>2800</v>
      </c>
      <c r="O88" s="1">
        <f ca="1">H88*'Data Considered'!$B$12</f>
        <v>0</v>
      </c>
      <c r="P88" s="1">
        <f t="shared" ca="1" si="22"/>
        <v>2550</v>
      </c>
      <c r="Q88" s="1">
        <f ca="1">IF(A88=1,'Data Considered'!$B$18,Manufacturer!Q87+Manufacturer!P88)</f>
        <v>78400</v>
      </c>
      <c r="R88" s="1">
        <f ca="1">J88*'Data Considered'!$D$11</f>
        <v>250</v>
      </c>
      <c r="S88" s="1">
        <f ca="1">L88*'Data Considered'!$B$22</f>
        <v>0</v>
      </c>
      <c r="T88" s="1">
        <f ca="1">K88*'Data Considered'!$B$26</f>
        <v>80</v>
      </c>
      <c r="U88" s="1">
        <f t="shared" ca="1" si="23"/>
        <v>0</v>
      </c>
      <c r="V88" s="1">
        <f ca="1">U88+'Data Considered'!$B$15-0</f>
        <v>2</v>
      </c>
      <c r="W88" s="1">
        <f t="shared" ca="1" si="24"/>
        <v>250</v>
      </c>
      <c r="X88" s="1">
        <f t="shared" ca="1" si="25"/>
        <v>0</v>
      </c>
    </row>
    <row r="89" spans="1:24" x14ac:dyDescent="0.3">
      <c r="A89" s="1">
        <f t="shared" si="26"/>
        <v>88</v>
      </c>
      <c r="B89" s="1">
        <f ca="1">Distributor!H88</f>
        <v>31</v>
      </c>
      <c r="C89" s="1">
        <f t="shared" ca="1" si="14"/>
        <v>27</v>
      </c>
      <c r="D89" s="1">
        <f t="shared" ca="1" si="15"/>
        <v>81</v>
      </c>
      <c r="E89" s="1">
        <f t="shared" ca="1" si="16"/>
        <v>0</v>
      </c>
      <c r="F89" s="1">
        <f ca="1">IF(A89=1,'Data Considered'!$B$5,L88+E89)</f>
        <v>0</v>
      </c>
      <c r="G89" s="1">
        <f t="shared" ca="1" si="17"/>
        <v>0</v>
      </c>
      <c r="H89" s="1">
        <f t="shared" ca="1" si="18"/>
        <v>81</v>
      </c>
      <c r="I89" s="1">
        <f t="shared" ca="1" si="21"/>
        <v>0</v>
      </c>
      <c r="J89" s="1">
        <f t="shared" ca="1" si="27"/>
        <v>0</v>
      </c>
      <c r="K89" s="1">
        <f t="shared" ca="1" si="19"/>
        <v>31</v>
      </c>
      <c r="L89" s="1">
        <f t="shared" ca="1" si="20"/>
        <v>0</v>
      </c>
      <c r="M89" s="1">
        <f ca="1">J89*'Data Considered'!$B$11</f>
        <v>0</v>
      </c>
      <c r="N89" s="1">
        <f ca="1">Distributor!P89</f>
        <v>0</v>
      </c>
      <c r="O89" s="1">
        <f ca="1">H89*'Data Considered'!$B$12</f>
        <v>4050</v>
      </c>
      <c r="P89" s="1">
        <f t="shared" ca="1" si="22"/>
        <v>-4050</v>
      </c>
      <c r="Q89" s="1">
        <f ca="1">IF(A89=1,'Data Considered'!$B$18,Manufacturer!Q88+Manufacturer!P89)</f>
        <v>74350</v>
      </c>
      <c r="R89" s="1">
        <f ca="1">J89*'Data Considered'!$D$11</f>
        <v>0</v>
      </c>
      <c r="S89" s="1">
        <f ca="1">L89*'Data Considered'!$B$22</f>
        <v>0</v>
      </c>
      <c r="T89" s="1">
        <f ca="1">K89*'Data Considered'!$B$26</f>
        <v>1240</v>
      </c>
      <c r="U89" s="1">
        <f t="shared" ca="1" si="23"/>
        <v>0</v>
      </c>
      <c r="V89" s="1">
        <f ca="1">U89+'Data Considered'!$B$15-0</f>
        <v>2</v>
      </c>
      <c r="W89" s="1">
        <f t="shared" ca="1" si="24"/>
        <v>4050</v>
      </c>
      <c r="X89" s="1">
        <f t="shared" ca="1" si="25"/>
        <v>100</v>
      </c>
    </row>
    <row r="90" spans="1:24" x14ac:dyDescent="0.3">
      <c r="A90" s="1">
        <f t="shared" si="26"/>
        <v>89</v>
      </c>
      <c r="B90" s="1">
        <f ca="1">Distributor!H89</f>
        <v>0</v>
      </c>
      <c r="C90" s="1">
        <f t="shared" ca="1" si="14"/>
        <v>42</v>
      </c>
      <c r="D90" s="1">
        <f t="shared" ca="1" si="15"/>
        <v>126</v>
      </c>
      <c r="E90" s="1">
        <f t="shared" ca="1" si="16"/>
        <v>0</v>
      </c>
      <c r="F90" s="1">
        <f ca="1">IF(A90=1,'Data Considered'!$B$5,L89+E90)</f>
        <v>0</v>
      </c>
      <c r="G90" s="1">
        <f t="shared" ca="1" si="17"/>
        <v>81</v>
      </c>
      <c r="H90" s="1">
        <f t="shared" ca="1" si="18"/>
        <v>45</v>
      </c>
      <c r="I90" s="1">
        <f t="shared" ca="1" si="21"/>
        <v>0</v>
      </c>
      <c r="J90" s="1">
        <f t="shared" ca="1" si="27"/>
        <v>0</v>
      </c>
      <c r="K90" s="1">
        <f t="shared" ca="1" si="19"/>
        <v>0</v>
      </c>
      <c r="L90" s="1">
        <f t="shared" ca="1" si="20"/>
        <v>0</v>
      </c>
      <c r="M90" s="1">
        <f ca="1">J90*'Data Considered'!$B$11</f>
        <v>0</v>
      </c>
      <c r="N90" s="1">
        <f ca="1">Distributor!P90</f>
        <v>100</v>
      </c>
      <c r="O90" s="1">
        <f ca="1">H90*'Data Considered'!$B$12</f>
        <v>2250</v>
      </c>
      <c r="P90" s="1">
        <f t="shared" ca="1" si="22"/>
        <v>-2150</v>
      </c>
      <c r="Q90" s="1">
        <f ca="1">IF(A90=1,'Data Considered'!$B$18,Manufacturer!Q89+Manufacturer!P90)</f>
        <v>72200</v>
      </c>
      <c r="R90" s="1">
        <f ca="1">J90*'Data Considered'!$D$11</f>
        <v>0</v>
      </c>
      <c r="S90" s="1">
        <f ca="1">L90*'Data Considered'!$B$22</f>
        <v>0</v>
      </c>
      <c r="T90" s="1">
        <f ca="1">K90*'Data Considered'!$B$26</f>
        <v>0</v>
      </c>
      <c r="U90" s="1">
        <f t="shared" ca="1" si="23"/>
        <v>0</v>
      </c>
      <c r="V90" s="1">
        <f ca="1">U90+'Data Considered'!$B$15-0</f>
        <v>2</v>
      </c>
      <c r="W90" s="1">
        <f t="shared" ca="1" si="24"/>
        <v>2250</v>
      </c>
      <c r="X90" s="1">
        <f t="shared" ca="1" si="25"/>
        <v>5000</v>
      </c>
    </row>
    <row r="91" spans="1:24" x14ac:dyDescent="0.3">
      <c r="A91" s="1">
        <f t="shared" si="26"/>
        <v>90</v>
      </c>
      <c r="B91" s="1">
        <f ca="1">Distributor!H90</f>
        <v>14</v>
      </c>
      <c r="C91" s="1">
        <f t="shared" ca="1" si="14"/>
        <v>16</v>
      </c>
      <c r="D91" s="1">
        <f t="shared" ca="1" si="15"/>
        <v>48</v>
      </c>
      <c r="E91" s="1">
        <f t="shared" ca="1" si="16"/>
        <v>81</v>
      </c>
      <c r="F91" s="1">
        <f ca="1">IF(A91=1,'Data Considered'!$B$5,L90+E91)</f>
        <v>81</v>
      </c>
      <c r="G91" s="1">
        <f t="shared" ca="1" si="17"/>
        <v>126</v>
      </c>
      <c r="H91" s="1">
        <f t="shared" ca="1" si="18"/>
        <v>0</v>
      </c>
      <c r="I91" s="1">
        <f t="shared" ca="1" si="21"/>
        <v>81</v>
      </c>
      <c r="J91" s="1">
        <f t="shared" ca="1" si="27"/>
        <v>14</v>
      </c>
      <c r="K91" s="1">
        <f t="shared" ca="1" si="19"/>
        <v>0</v>
      </c>
      <c r="L91" s="1">
        <f t="shared" ca="1" si="20"/>
        <v>67</v>
      </c>
      <c r="M91" s="1">
        <f ca="1">J91*'Data Considered'!$B$11</f>
        <v>1400</v>
      </c>
      <c r="N91" s="1">
        <f ca="1">Distributor!P91</f>
        <v>5000</v>
      </c>
      <c r="O91" s="1">
        <f ca="1">H91*'Data Considered'!$B$12</f>
        <v>0</v>
      </c>
      <c r="P91" s="1">
        <f t="shared" ca="1" si="22"/>
        <v>4595</v>
      </c>
      <c r="Q91" s="1">
        <f ca="1">IF(A91=1,'Data Considered'!$B$18,Manufacturer!Q90+Manufacturer!P91)</f>
        <v>76795</v>
      </c>
      <c r="R91" s="1">
        <f ca="1">J91*'Data Considered'!$D$11</f>
        <v>70</v>
      </c>
      <c r="S91" s="1">
        <f ca="1">L91*'Data Considered'!$B$22</f>
        <v>335</v>
      </c>
      <c r="T91" s="1">
        <f ca="1">K91*'Data Considered'!$B$26</f>
        <v>0</v>
      </c>
      <c r="U91" s="1">
        <f t="shared" ca="1" si="23"/>
        <v>5</v>
      </c>
      <c r="V91" s="1">
        <f ca="1">U91+'Data Considered'!$B$15-0</f>
        <v>7</v>
      </c>
      <c r="W91" s="1">
        <f t="shared" ca="1" si="24"/>
        <v>70</v>
      </c>
      <c r="X91" s="1">
        <f t="shared" ca="1" si="25"/>
        <v>0</v>
      </c>
    </row>
    <row r="92" spans="1:24" x14ac:dyDescent="0.3">
      <c r="A92" s="1">
        <f t="shared" si="26"/>
        <v>91</v>
      </c>
      <c r="B92" s="1">
        <f ca="1">Distributor!H91</f>
        <v>11</v>
      </c>
      <c r="C92" s="1">
        <f t="shared" ca="1" si="14"/>
        <v>7</v>
      </c>
      <c r="D92" s="1">
        <f t="shared" ca="1" si="15"/>
        <v>21</v>
      </c>
      <c r="E92" s="1">
        <f t="shared" ca="1" si="16"/>
        <v>45</v>
      </c>
      <c r="F92" s="1">
        <f ca="1">IF(A92=1,'Data Considered'!$B$5,L91+E92)</f>
        <v>112</v>
      </c>
      <c r="G92" s="1">
        <f t="shared" ca="1" si="17"/>
        <v>112</v>
      </c>
      <c r="H92" s="1">
        <f t="shared" ca="1" si="18"/>
        <v>0</v>
      </c>
      <c r="I92" s="1">
        <f t="shared" ca="1" si="21"/>
        <v>112</v>
      </c>
      <c r="J92" s="1">
        <f t="shared" ca="1" si="27"/>
        <v>11</v>
      </c>
      <c r="K92" s="1">
        <f t="shared" ca="1" si="19"/>
        <v>0</v>
      </c>
      <c r="L92" s="1">
        <f t="shared" ca="1" si="20"/>
        <v>101</v>
      </c>
      <c r="M92" s="1">
        <f ca="1">J92*'Data Considered'!$B$11</f>
        <v>1100</v>
      </c>
      <c r="N92" s="1">
        <f ca="1">Distributor!P92</f>
        <v>0</v>
      </c>
      <c r="O92" s="1">
        <f ca="1">H92*'Data Considered'!$B$12</f>
        <v>0</v>
      </c>
      <c r="P92" s="1">
        <f t="shared" ca="1" si="22"/>
        <v>-560</v>
      </c>
      <c r="Q92" s="1">
        <f ca="1">IF(A92=1,'Data Considered'!$B$18,Manufacturer!Q91+Manufacturer!P92)</f>
        <v>76235</v>
      </c>
      <c r="R92" s="1">
        <f ca="1">J92*'Data Considered'!$D$11</f>
        <v>55</v>
      </c>
      <c r="S92" s="1">
        <f ca="1">L92*'Data Considered'!$B$22</f>
        <v>505</v>
      </c>
      <c r="T92" s="1">
        <f ca="1">K92*'Data Considered'!$B$26</f>
        <v>0</v>
      </c>
      <c r="U92" s="1">
        <f t="shared" ca="1" si="23"/>
        <v>7</v>
      </c>
      <c r="V92" s="1">
        <f ca="1">U92+'Data Considered'!$B$15-0</f>
        <v>9</v>
      </c>
      <c r="W92" s="1">
        <f t="shared" ca="1" si="24"/>
        <v>55</v>
      </c>
      <c r="X92" s="1">
        <f t="shared" ca="1" si="25"/>
        <v>0</v>
      </c>
    </row>
    <row r="93" spans="1:24" x14ac:dyDescent="0.3">
      <c r="A93" s="1">
        <f t="shared" si="26"/>
        <v>92</v>
      </c>
      <c r="B93" s="1">
        <f ca="1">Distributor!H92</f>
        <v>65</v>
      </c>
      <c r="C93" s="1">
        <f t="shared" ca="1" si="14"/>
        <v>13</v>
      </c>
      <c r="D93" s="1">
        <f t="shared" ca="1" si="15"/>
        <v>39</v>
      </c>
      <c r="E93" s="1">
        <f t="shared" ca="1" si="16"/>
        <v>0</v>
      </c>
      <c r="F93" s="1">
        <f ca="1">IF(A93=1,'Data Considered'!$B$5,L92+E93)</f>
        <v>101</v>
      </c>
      <c r="G93" s="1">
        <f t="shared" ca="1" si="17"/>
        <v>101</v>
      </c>
      <c r="H93" s="1">
        <f t="shared" ca="1" si="18"/>
        <v>0</v>
      </c>
      <c r="I93" s="1">
        <f t="shared" ca="1" si="21"/>
        <v>101</v>
      </c>
      <c r="J93" s="1">
        <f t="shared" ca="1" si="27"/>
        <v>65</v>
      </c>
      <c r="K93" s="1">
        <f t="shared" ca="1" si="19"/>
        <v>0</v>
      </c>
      <c r="L93" s="1">
        <f t="shared" ca="1" si="20"/>
        <v>36</v>
      </c>
      <c r="M93" s="1">
        <f ca="1">J93*'Data Considered'!$B$11</f>
        <v>6500</v>
      </c>
      <c r="N93" s="1">
        <f ca="1">Distributor!P93</f>
        <v>0</v>
      </c>
      <c r="O93" s="1">
        <f ca="1">H93*'Data Considered'!$B$12</f>
        <v>0</v>
      </c>
      <c r="P93" s="1">
        <f t="shared" ca="1" si="22"/>
        <v>-505</v>
      </c>
      <c r="Q93" s="1">
        <f ca="1">IF(A93=1,'Data Considered'!$B$18,Manufacturer!Q92+Manufacturer!P93)</f>
        <v>75730</v>
      </c>
      <c r="R93" s="1">
        <f ca="1">J93*'Data Considered'!$D$11</f>
        <v>325</v>
      </c>
      <c r="S93" s="1">
        <f ca="1">L93*'Data Considered'!$B$22</f>
        <v>180</v>
      </c>
      <c r="T93" s="1">
        <f ca="1">K93*'Data Considered'!$B$26</f>
        <v>0</v>
      </c>
      <c r="U93" s="1">
        <f t="shared" ca="1" si="23"/>
        <v>3</v>
      </c>
      <c r="V93" s="1">
        <f ca="1">U93+'Data Considered'!$B$15-0</f>
        <v>5</v>
      </c>
      <c r="W93" s="1">
        <f t="shared" ca="1" si="24"/>
        <v>325</v>
      </c>
      <c r="X93" s="1">
        <f t="shared" ca="1" si="25"/>
        <v>1400</v>
      </c>
    </row>
    <row r="94" spans="1:24" x14ac:dyDescent="0.3">
      <c r="A94" s="1">
        <f t="shared" si="26"/>
        <v>93</v>
      </c>
      <c r="B94" s="1">
        <f ca="1">Distributor!H93</f>
        <v>20</v>
      </c>
      <c r="C94" s="1">
        <f t="shared" ca="1" si="14"/>
        <v>38</v>
      </c>
      <c r="D94" s="1">
        <f t="shared" ca="1" si="15"/>
        <v>114</v>
      </c>
      <c r="E94" s="1">
        <f t="shared" ca="1" si="16"/>
        <v>0</v>
      </c>
      <c r="F94" s="1">
        <f ca="1">IF(A94=1,'Data Considered'!$B$5,L93+E94)</f>
        <v>36</v>
      </c>
      <c r="G94" s="1">
        <f t="shared" ca="1" si="17"/>
        <v>36</v>
      </c>
      <c r="H94" s="1">
        <f t="shared" ca="1" si="18"/>
        <v>78</v>
      </c>
      <c r="I94" s="1">
        <f t="shared" ca="1" si="21"/>
        <v>36</v>
      </c>
      <c r="J94" s="1">
        <f t="shared" ca="1" si="27"/>
        <v>20</v>
      </c>
      <c r="K94" s="1">
        <f t="shared" ca="1" si="19"/>
        <v>0</v>
      </c>
      <c r="L94" s="1">
        <f t="shared" ca="1" si="20"/>
        <v>16</v>
      </c>
      <c r="M94" s="1">
        <f ca="1">J94*'Data Considered'!$B$11</f>
        <v>2000</v>
      </c>
      <c r="N94" s="1">
        <f ca="1">Distributor!P94</f>
        <v>1400</v>
      </c>
      <c r="O94" s="1">
        <f ca="1">H94*'Data Considered'!$B$12</f>
        <v>3900</v>
      </c>
      <c r="P94" s="1">
        <f t="shared" ca="1" si="22"/>
        <v>-2680</v>
      </c>
      <c r="Q94" s="1">
        <f ca="1">IF(A94=1,'Data Considered'!$B$18,Manufacturer!Q93+Manufacturer!P94)</f>
        <v>73050</v>
      </c>
      <c r="R94" s="1">
        <f ca="1">J94*'Data Considered'!$D$11</f>
        <v>100</v>
      </c>
      <c r="S94" s="1">
        <f ca="1">L94*'Data Considered'!$B$22</f>
        <v>80</v>
      </c>
      <c r="T94" s="1">
        <f ca="1">K94*'Data Considered'!$B$26</f>
        <v>0</v>
      </c>
      <c r="U94" s="1">
        <f t="shared" ca="1" si="23"/>
        <v>1</v>
      </c>
      <c r="V94" s="1">
        <f ca="1">U94+'Data Considered'!$B$15-0</f>
        <v>3</v>
      </c>
      <c r="W94" s="1">
        <f t="shared" ca="1" si="24"/>
        <v>4000</v>
      </c>
      <c r="X94" s="1">
        <f t="shared" ca="1" si="25"/>
        <v>1100</v>
      </c>
    </row>
    <row r="95" spans="1:24" x14ac:dyDescent="0.3">
      <c r="A95" s="1">
        <f t="shared" si="26"/>
        <v>94</v>
      </c>
      <c r="B95" s="1">
        <f ca="1">Distributor!H94</f>
        <v>8</v>
      </c>
      <c r="C95" s="1">
        <f t="shared" ca="1" si="14"/>
        <v>43</v>
      </c>
      <c r="D95" s="1">
        <f t="shared" ca="1" si="15"/>
        <v>129</v>
      </c>
      <c r="E95" s="1">
        <f t="shared" ca="1" si="16"/>
        <v>0</v>
      </c>
      <c r="F95" s="1">
        <f ca="1">IF(A95=1,'Data Considered'!$B$5,L94+E95)</f>
        <v>16</v>
      </c>
      <c r="G95" s="1">
        <f t="shared" ca="1" si="17"/>
        <v>94</v>
      </c>
      <c r="H95" s="1">
        <f t="shared" ca="1" si="18"/>
        <v>35</v>
      </c>
      <c r="I95" s="1">
        <f t="shared" ca="1" si="21"/>
        <v>16</v>
      </c>
      <c r="J95" s="1">
        <f t="shared" ca="1" si="27"/>
        <v>8</v>
      </c>
      <c r="K95" s="1">
        <f t="shared" ca="1" si="19"/>
        <v>0</v>
      </c>
      <c r="L95" s="1">
        <f t="shared" ca="1" si="20"/>
        <v>8</v>
      </c>
      <c r="M95" s="1">
        <f ca="1">J95*'Data Considered'!$B$11</f>
        <v>800</v>
      </c>
      <c r="N95" s="1">
        <f ca="1">Distributor!P95</f>
        <v>1100</v>
      </c>
      <c r="O95" s="1">
        <f ca="1">H95*'Data Considered'!$B$12</f>
        <v>1750</v>
      </c>
      <c r="P95" s="1">
        <f t="shared" ca="1" si="22"/>
        <v>-730</v>
      </c>
      <c r="Q95" s="1">
        <f ca="1">IF(A95=1,'Data Considered'!$B$18,Manufacturer!Q94+Manufacturer!P95)</f>
        <v>72320</v>
      </c>
      <c r="R95" s="1">
        <f ca="1">J95*'Data Considered'!$D$11</f>
        <v>40</v>
      </c>
      <c r="S95" s="1">
        <f ca="1">L95*'Data Considered'!$B$22</f>
        <v>40</v>
      </c>
      <c r="T95" s="1">
        <f ca="1">K95*'Data Considered'!$B$26</f>
        <v>0</v>
      </c>
      <c r="U95" s="1">
        <f t="shared" ca="1" si="23"/>
        <v>1</v>
      </c>
      <c r="V95" s="1">
        <f ca="1">U95+'Data Considered'!$B$15-0</f>
        <v>3</v>
      </c>
      <c r="W95" s="1">
        <f t="shared" ca="1" si="24"/>
        <v>1790</v>
      </c>
      <c r="X95" s="1">
        <f t="shared" ca="1" si="25"/>
        <v>6500</v>
      </c>
    </row>
    <row r="96" spans="1:24" x14ac:dyDescent="0.3">
      <c r="A96" s="1">
        <f t="shared" si="26"/>
        <v>95</v>
      </c>
      <c r="B96" s="1">
        <f ca="1">Distributor!H95</f>
        <v>46</v>
      </c>
      <c r="C96" s="1">
        <f t="shared" ref="C96:C105" ca="1" si="28">ROUNDUP(AVERAGE(B94,B95),0)</f>
        <v>14</v>
      </c>
      <c r="D96" s="1">
        <f t="shared" ref="D96:D105" ca="1" si="29">3*C96</f>
        <v>42</v>
      </c>
      <c r="E96" s="1">
        <f t="shared" ref="E96:E105" ca="1" si="30">IF(A96&gt;2,OFFSET(H96,-2,0),0)</f>
        <v>78</v>
      </c>
      <c r="F96" s="1">
        <f ca="1">IF(A96=1,'Data Considered'!$B$5,L95+E96)</f>
        <v>86</v>
      </c>
      <c r="G96" s="1">
        <f t="shared" ref="G96:G105" ca="1" si="31">F96+IF(A96&gt;1,H95,0)</f>
        <v>121</v>
      </c>
      <c r="H96" s="1">
        <f t="shared" ref="H96:H105" ca="1" si="32">IF(D96&gt;G96,D96-G96,0)</f>
        <v>0</v>
      </c>
      <c r="I96" s="1">
        <f t="shared" ca="1" si="21"/>
        <v>86</v>
      </c>
      <c r="J96" s="1">
        <f t="shared" ca="1" si="27"/>
        <v>46</v>
      </c>
      <c r="K96" s="1">
        <f t="shared" ref="K96:K105" ca="1" si="33">B96-J96</f>
        <v>0</v>
      </c>
      <c r="L96" s="1">
        <f t="shared" ref="L96:L105" ca="1" si="34">I96-J96</f>
        <v>40</v>
      </c>
      <c r="M96" s="1">
        <f ca="1">J96*'Data Considered'!$B$11</f>
        <v>4600</v>
      </c>
      <c r="N96" s="1">
        <f ca="1">Distributor!P96</f>
        <v>6500</v>
      </c>
      <c r="O96" s="1">
        <f ca="1">H96*'Data Considered'!$B$12</f>
        <v>0</v>
      </c>
      <c r="P96" s="1">
        <f t="shared" ca="1" si="22"/>
        <v>6070</v>
      </c>
      <c r="Q96" s="1">
        <f ca="1">IF(A96=1,'Data Considered'!$B$18,Manufacturer!Q95+Manufacturer!P96)</f>
        <v>78390</v>
      </c>
      <c r="R96" s="1">
        <f ca="1">J96*'Data Considered'!$D$11</f>
        <v>230</v>
      </c>
      <c r="S96" s="1">
        <f ca="1">L96*'Data Considered'!$B$22</f>
        <v>200</v>
      </c>
      <c r="T96" s="1">
        <f ca="1">K96*'Data Considered'!$B$26</f>
        <v>0</v>
      </c>
      <c r="U96" s="1">
        <f t="shared" ca="1" si="23"/>
        <v>3</v>
      </c>
      <c r="V96" s="1">
        <f ca="1">U96+'Data Considered'!$B$15-0</f>
        <v>5</v>
      </c>
      <c r="W96" s="1">
        <f t="shared" ca="1" si="24"/>
        <v>230</v>
      </c>
      <c r="X96" s="1">
        <f t="shared" ca="1" si="25"/>
        <v>2000</v>
      </c>
    </row>
    <row r="97" spans="1:24" x14ac:dyDescent="0.3">
      <c r="A97" s="1">
        <f t="shared" si="26"/>
        <v>96</v>
      </c>
      <c r="B97" s="1">
        <f ca="1">Distributor!H96</f>
        <v>36</v>
      </c>
      <c r="C97" s="1">
        <f t="shared" ca="1" si="28"/>
        <v>27</v>
      </c>
      <c r="D97" s="1">
        <f t="shared" ca="1" si="29"/>
        <v>81</v>
      </c>
      <c r="E97" s="1">
        <f t="shared" ca="1" si="30"/>
        <v>35</v>
      </c>
      <c r="F97" s="1">
        <f ca="1">IF(A97=1,'Data Considered'!$B$5,L96+E97)</f>
        <v>75</v>
      </c>
      <c r="G97" s="1">
        <f t="shared" ca="1" si="31"/>
        <v>75</v>
      </c>
      <c r="H97" s="1">
        <f t="shared" ca="1" si="32"/>
        <v>6</v>
      </c>
      <c r="I97" s="1">
        <f t="shared" ca="1" si="21"/>
        <v>75</v>
      </c>
      <c r="J97" s="1">
        <f t="shared" ca="1" si="27"/>
        <v>36</v>
      </c>
      <c r="K97" s="1">
        <f t="shared" ca="1" si="33"/>
        <v>0</v>
      </c>
      <c r="L97" s="1">
        <f t="shared" ca="1" si="34"/>
        <v>39</v>
      </c>
      <c r="M97" s="1">
        <f ca="1">J97*'Data Considered'!$B$11</f>
        <v>3600</v>
      </c>
      <c r="N97" s="1">
        <f ca="1">Distributor!P97</f>
        <v>2000</v>
      </c>
      <c r="O97" s="1">
        <f ca="1">H97*'Data Considered'!$B$12</f>
        <v>300</v>
      </c>
      <c r="P97" s="1">
        <f t="shared" ca="1" si="22"/>
        <v>1325</v>
      </c>
      <c r="Q97" s="1">
        <f ca="1">IF(A97=1,'Data Considered'!$B$18,Manufacturer!Q96+Manufacturer!P97)</f>
        <v>79715</v>
      </c>
      <c r="R97" s="1">
        <f ca="1">J97*'Data Considered'!$D$11</f>
        <v>180</v>
      </c>
      <c r="S97" s="1">
        <f ca="1">L97*'Data Considered'!$B$22</f>
        <v>195</v>
      </c>
      <c r="T97" s="1">
        <f ca="1">K97*'Data Considered'!$B$26</f>
        <v>0</v>
      </c>
      <c r="U97" s="1">
        <f t="shared" ca="1" si="23"/>
        <v>3</v>
      </c>
      <c r="V97" s="1">
        <f ca="1">U97+'Data Considered'!$B$15-0</f>
        <v>5</v>
      </c>
      <c r="W97" s="1">
        <f t="shared" ca="1" si="24"/>
        <v>480</v>
      </c>
      <c r="X97" s="1">
        <f t="shared" ca="1" si="25"/>
        <v>800</v>
      </c>
    </row>
    <row r="98" spans="1:24" x14ac:dyDescent="0.3">
      <c r="A98" s="1">
        <f t="shared" si="26"/>
        <v>97</v>
      </c>
      <c r="B98" s="1">
        <f ca="1">Distributor!H97</f>
        <v>0</v>
      </c>
      <c r="C98" s="1">
        <f t="shared" ca="1" si="28"/>
        <v>41</v>
      </c>
      <c r="D98" s="1">
        <f t="shared" ca="1" si="29"/>
        <v>123</v>
      </c>
      <c r="E98" s="1">
        <f t="shared" ca="1" si="30"/>
        <v>0</v>
      </c>
      <c r="F98" s="1">
        <f ca="1">IF(A98=1,'Data Considered'!$B$5,L97+E98)</f>
        <v>39</v>
      </c>
      <c r="G98" s="1">
        <f t="shared" ca="1" si="31"/>
        <v>45</v>
      </c>
      <c r="H98" s="1">
        <f t="shared" ca="1" si="32"/>
        <v>78</v>
      </c>
      <c r="I98" s="1">
        <f t="shared" ca="1" si="21"/>
        <v>39</v>
      </c>
      <c r="J98" s="1">
        <f t="shared" ca="1" si="27"/>
        <v>0</v>
      </c>
      <c r="K98" s="1">
        <f t="shared" ca="1" si="33"/>
        <v>0</v>
      </c>
      <c r="L98" s="1">
        <f t="shared" ca="1" si="34"/>
        <v>39</v>
      </c>
      <c r="M98" s="1">
        <f ca="1">J98*'Data Considered'!$B$11</f>
        <v>0</v>
      </c>
      <c r="N98" s="1">
        <f ca="1">Distributor!P98</f>
        <v>800</v>
      </c>
      <c r="O98" s="1">
        <f ca="1">H98*'Data Considered'!$B$12</f>
        <v>3900</v>
      </c>
      <c r="P98" s="1">
        <f t="shared" ca="1" si="22"/>
        <v>-3295</v>
      </c>
      <c r="Q98" s="1">
        <f ca="1">IF(A98=1,'Data Considered'!$B$18,Manufacturer!Q97+Manufacturer!P98)</f>
        <v>76420</v>
      </c>
      <c r="R98" s="1">
        <f ca="1">J98*'Data Considered'!$D$11</f>
        <v>0</v>
      </c>
      <c r="S98" s="1">
        <f ca="1">L98*'Data Considered'!$B$22</f>
        <v>195</v>
      </c>
      <c r="T98" s="1">
        <f ca="1">K98*'Data Considered'!$B$26</f>
        <v>0</v>
      </c>
      <c r="U98" s="1">
        <f t="shared" ca="1" si="23"/>
        <v>3</v>
      </c>
      <c r="V98" s="1">
        <f ca="1">U98+'Data Considered'!$B$15-0</f>
        <v>5</v>
      </c>
      <c r="W98" s="1">
        <f t="shared" ca="1" si="24"/>
        <v>3900</v>
      </c>
      <c r="X98" s="1">
        <f t="shared" ca="1" si="25"/>
        <v>4600</v>
      </c>
    </row>
    <row r="99" spans="1:24" x14ac:dyDescent="0.3">
      <c r="A99" s="1">
        <f t="shared" si="26"/>
        <v>98</v>
      </c>
      <c r="B99" s="1">
        <f ca="1">Distributor!H98</f>
        <v>0</v>
      </c>
      <c r="C99" s="1">
        <f t="shared" ca="1" si="28"/>
        <v>18</v>
      </c>
      <c r="D99" s="1">
        <f t="shared" ca="1" si="29"/>
        <v>54</v>
      </c>
      <c r="E99" s="1">
        <f t="shared" ca="1" si="30"/>
        <v>6</v>
      </c>
      <c r="F99" s="1">
        <f ca="1">IF(A99=1,'Data Considered'!$B$5,L98+E99)</f>
        <v>45</v>
      </c>
      <c r="G99" s="1">
        <f t="shared" ca="1" si="31"/>
        <v>123</v>
      </c>
      <c r="H99" s="1">
        <f t="shared" ca="1" si="32"/>
        <v>0</v>
      </c>
      <c r="I99" s="1">
        <f t="shared" ca="1" si="21"/>
        <v>45</v>
      </c>
      <c r="J99" s="1">
        <f t="shared" ca="1" si="27"/>
        <v>0</v>
      </c>
      <c r="K99" s="1">
        <f t="shared" ca="1" si="33"/>
        <v>0</v>
      </c>
      <c r="L99" s="1">
        <f t="shared" ca="1" si="34"/>
        <v>45</v>
      </c>
      <c r="M99" s="1">
        <f ca="1">J99*'Data Considered'!$B$11</f>
        <v>0</v>
      </c>
      <c r="N99" s="1">
        <f ca="1">Distributor!P99</f>
        <v>4600</v>
      </c>
      <c r="O99" s="1">
        <f ca="1">H99*'Data Considered'!$B$12</f>
        <v>0</v>
      </c>
      <c r="P99" s="1">
        <f t="shared" ca="1" si="22"/>
        <v>4375</v>
      </c>
      <c r="Q99" s="1">
        <f ca="1">IF(A99=1,'Data Considered'!$B$18,Manufacturer!Q98+Manufacturer!P99)</f>
        <v>80795</v>
      </c>
      <c r="R99" s="1">
        <f ca="1">J99*'Data Considered'!$D$11</f>
        <v>0</v>
      </c>
      <c r="S99" s="1">
        <f ca="1">L99*'Data Considered'!$B$22</f>
        <v>225</v>
      </c>
      <c r="T99" s="1">
        <f ca="1">K99*'Data Considered'!$B$26</f>
        <v>0</v>
      </c>
      <c r="U99" s="1">
        <f t="shared" ca="1" si="23"/>
        <v>3</v>
      </c>
      <c r="V99" s="1">
        <f ca="1">U99+'Data Considered'!$B$15-0</f>
        <v>5</v>
      </c>
      <c r="W99" s="1">
        <f t="shared" ca="1" si="24"/>
        <v>0</v>
      </c>
      <c r="X99" s="1">
        <f t="shared" ca="1" si="25"/>
        <v>3600</v>
      </c>
    </row>
    <row r="100" spans="1:24" x14ac:dyDescent="0.3">
      <c r="A100" s="1">
        <f t="shared" si="26"/>
        <v>99</v>
      </c>
      <c r="B100" s="1">
        <f ca="1">Distributor!H99</f>
        <v>0</v>
      </c>
      <c r="C100" s="1">
        <f t="shared" ca="1" si="28"/>
        <v>0</v>
      </c>
      <c r="D100" s="1">
        <f t="shared" ca="1" si="29"/>
        <v>0</v>
      </c>
      <c r="E100" s="1">
        <f t="shared" ca="1" si="30"/>
        <v>78</v>
      </c>
      <c r="F100" s="1">
        <f ca="1">IF(A100=1,'Data Considered'!$B$5,L99+E100)</f>
        <v>123</v>
      </c>
      <c r="G100" s="1">
        <f t="shared" ca="1" si="31"/>
        <v>123</v>
      </c>
      <c r="H100" s="1">
        <f t="shared" ca="1" si="32"/>
        <v>0</v>
      </c>
      <c r="I100" s="1">
        <f t="shared" ca="1" si="21"/>
        <v>123</v>
      </c>
      <c r="J100" s="1">
        <f t="shared" ca="1" si="27"/>
        <v>0</v>
      </c>
      <c r="K100" s="1">
        <f t="shared" ca="1" si="33"/>
        <v>0</v>
      </c>
      <c r="L100" s="1">
        <f t="shared" ca="1" si="34"/>
        <v>123</v>
      </c>
      <c r="M100" s="1">
        <f ca="1">J100*'Data Considered'!$B$11</f>
        <v>0</v>
      </c>
      <c r="N100" s="1">
        <f ca="1">Distributor!P100</f>
        <v>3600</v>
      </c>
      <c r="O100" s="1">
        <f ca="1">H100*'Data Considered'!$B$12</f>
        <v>0</v>
      </c>
      <c r="P100" s="1">
        <f t="shared" ca="1" si="22"/>
        <v>2985</v>
      </c>
      <c r="Q100" s="1">
        <f ca="1">IF(A100=1,'Data Considered'!$B$18,Manufacturer!Q99+Manufacturer!P100)</f>
        <v>83780</v>
      </c>
      <c r="R100" s="1">
        <f ca="1">J100*'Data Considered'!$D$11</f>
        <v>0</v>
      </c>
      <c r="S100" s="1">
        <f ca="1">L100*'Data Considered'!$B$22</f>
        <v>615</v>
      </c>
      <c r="T100" s="1">
        <f ca="1">K100*'Data Considered'!$B$26</f>
        <v>0</v>
      </c>
      <c r="U100" s="1">
        <f t="shared" ca="1" si="23"/>
        <v>8</v>
      </c>
      <c r="V100" s="1">
        <f ca="1">U100+'Data Considered'!$B$15-0</f>
        <v>10</v>
      </c>
      <c r="W100" s="1">
        <f t="shared" ca="1" si="24"/>
        <v>0</v>
      </c>
      <c r="X100" s="1">
        <f t="shared" ca="1" si="25"/>
        <v>0</v>
      </c>
    </row>
    <row r="101" spans="1:24" x14ac:dyDescent="0.3">
      <c r="A101" s="1">
        <f t="shared" si="26"/>
        <v>100</v>
      </c>
      <c r="B101" s="1">
        <f ca="1">Distributor!H100</f>
        <v>0</v>
      </c>
      <c r="C101" s="1">
        <f t="shared" ca="1" si="28"/>
        <v>0</v>
      </c>
      <c r="D101" s="1">
        <f t="shared" ca="1" si="29"/>
        <v>0</v>
      </c>
      <c r="E101" s="1">
        <f t="shared" ca="1" si="30"/>
        <v>0</v>
      </c>
      <c r="F101" s="1">
        <f ca="1">IF(A101=1,'Data Considered'!$B$5,L100+E101)</f>
        <v>123</v>
      </c>
      <c r="G101" s="1">
        <f t="shared" ca="1" si="31"/>
        <v>123</v>
      </c>
      <c r="H101" s="1">
        <f t="shared" ca="1" si="32"/>
        <v>0</v>
      </c>
      <c r="I101" s="1">
        <f t="shared" ca="1" si="21"/>
        <v>123</v>
      </c>
      <c r="J101" s="1">
        <f t="shared" ca="1" si="27"/>
        <v>0</v>
      </c>
      <c r="K101" s="1">
        <f t="shared" ca="1" si="33"/>
        <v>0</v>
      </c>
      <c r="L101" s="1">
        <f t="shared" ca="1" si="34"/>
        <v>123</v>
      </c>
      <c r="M101" s="1">
        <f ca="1">J101*'Data Considered'!$B$11</f>
        <v>0</v>
      </c>
      <c r="N101" s="1">
        <f ca="1">Distributor!P101</f>
        <v>0</v>
      </c>
      <c r="O101" s="1">
        <f ca="1">H101*'Data Considered'!$B$12</f>
        <v>0</v>
      </c>
      <c r="P101" s="1">
        <f t="shared" ca="1" si="22"/>
        <v>-615</v>
      </c>
      <c r="Q101" s="1">
        <f ca="1">IF(A101=1,'Data Considered'!$B$18,Manufacturer!Q100+Manufacturer!P101)</f>
        <v>83165</v>
      </c>
      <c r="R101" s="1">
        <f ca="1">J101*'Data Considered'!$D$11</f>
        <v>0</v>
      </c>
      <c r="S101" s="1">
        <f ca="1">L101*'Data Considered'!$B$22</f>
        <v>615</v>
      </c>
      <c r="T101" s="1">
        <f ca="1">K101*'Data Considered'!$B$26</f>
        <v>0</v>
      </c>
      <c r="U101" s="1">
        <f t="shared" ca="1" si="23"/>
        <v>8</v>
      </c>
      <c r="V101" s="1">
        <f ca="1">U101+'Data Considered'!$B$15-0</f>
        <v>10</v>
      </c>
      <c r="W101" s="1">
        <f t="shared" ca="1" si="24"/>
        <v>0</v>
      </c>
      <c r="X101" s="1">
        <f t="shared" ca="1" si="25"/>
        <v>0</v>
      </c>
    </row>
    <row r="102" spans="1:24" x14ac:dyDescent="0.3">
      <c r="A102" s="1">
        <f t="shared" si="26"/>
        <v>101</v>
      </c>
      <c r="B102" s="1">
        <f ca="1">Distributor!H101</f>
        <v>48</v>
      </c>
      <c r="C102" s="1">
        <f t="shared" ca="1" si="28"/>
        <v>0</v>
      </c>
      <c r="D102" s="1">
        <f t="shared" ca="1" si="29"/>
        <v>0</v>
      </c>
      <c r="E102" s="1">
        <f t="shared" ca="1" si="30"/>
        <v>0</v>
      </c>
      <c r="F102" s="1">
        <f ca="1">IF(A102=1,'Data Considered'!$B$5,L101+E102)</f>
        <v>123</v>
      </c>
      <c r="G102" s="1">
        <f t="shared" ca="1" si="31"/>
        <v>123</v>
      </c>
      <c r="H102" s="1">
        <f t="shared" ca="1" si="32"/>
        <v>0</v>
      </c>
      <c r="I102" s="1">
        <f t="shared" ca="1" si="21"/>
        <v>123</v>
      </c>
      <c r="J102" s="1">
        <f t="shared" ca="1" si="27"/>
        <v>48</v>
      </c>
      <c r="K102" s="1">
        <f t="shared" ca="1" si="33"/>
        <v>0</v>
      </c>
      <c r="L102" s="1">
        <f t="shared" ca="1" si="34"/>
        <v>75</v>
      </c>
      <c r="M102" s="1">
        <f ca="1">J102*'Data Considered'!$B$11</f>
        <v>4800</v>
      </c>
      <c r="N102" s="1">
        <f ca="1">Distributor!P102</f>
        <v>0</v>
      </c>
      <c r="O102" s="1">
        <f ca="1">H102*'Data Considered'!$B$12</f>
        <v>0</v>
      </c>
      <c r="P102" s="1">
        <f t="shared" ca="1" si="22"/>
        <v>-615</v>
      </c>
      <c r="Q102" s="1">
        <f ca="1">IF(A102=1,'Data Considered'!$B$18,Manufacturer!Q101+Manufacturer!P102)</f>
        <v>82550</v>
      </c>
      <c r="R102" s="1">
        <f ca="1">J102*'Data Considered'!$D$11</f>
        <v>240</v>
      </c>
      <c r="S102" s="1">
        <f ca="1">L102*'Data Considered'!$B$22</f>
        <v>375</v>
      </c>
      <c r="T102" s="1">
        <f ca="1">K102*'Data Considered'!$B$26</f>
        <v>0</v>
      </c>
      <c r="U102" s="1">
        <f t="shared" ca="1" si="23"/>
        <v>5</v>
      </c>
      <c r="V102" s="1">
        <f ca="1">U102+'Data Considered'!$B$15-0</f>
        <v>7</v>
      </c>
      <c r="W102" s="1">
        <f t="shared" ca="1" si="24"/>
        <v>240</v>
      </c>
      <c r="X102" s="1">
        <f t="shared" ca="1" si="25"/>
        <v>0</v>
      </c>
    </row>
    <row r="103" spans="1:24" x14ac:dyDescent="0.3">
      <c r="A103" s="1">
        <f t="shared" si="26"/>
        <v>102</v>
      </c>
      <c r="B103" s="1">
        <f ca="1">Distributor!H102</f>
        <v>34</v>
      </c>
      <c r="C103" s="1">
        <f t="shared" ca="1" si="28"/>
        <v>24</v>
      </c>
      <c r="D103" s="1">
        <f t="shared" ca="1" si="29"/>
        <v>72</v>
      </c>
      <c r="E103" s="1">
        <f t="shared" ca="1" si="30"/>
        <v>0</v>
      </c>
      <c r="F103" s="1">
        <f ca="1">IF(A103=1,'Data Considered'!$B$5,L102+E103)</f>
        <v>75</v>
      </c>
      <c r="G103" s="1">
        <f t="shared" ca="1" si="31"/>
        <v>75</v>
      </c>
      <c r="H103" s="1">
        <f t="shared" ca="1" si="32"/>
        <v>0</v>
      </c>
      <c r="I103" s="1">
        <f t="shared" ca="1" si="21"/>
        <v>75</v>
      </c>
      <c r="J103" s="1">
        <f t="shared" ca="1" si="27"/>
        <v>34</v>
      </c>
      <c r="K103" s="1">
        <f t="shared" ca="1" si="33"/>
        <v>0</v>
      </c>
      <c r="L103" s="1">
        <f t="shared" ca="1" si="34"/>
        <v>41</v>
      </c>
      <c r="M103" s="1">
        <f ca="1">J103*'Data Considered'!$B$11</f>
        <v>3400</v>
      </c>
      <c r="N103" s="1">
        <f ca="1">Distributor!P103</f>
        <v>0</v>
      </c>
      <c r="O103" s="1">
        <f ca="1">H103*'Data Considered'!$B$12</f>
        <v>0</v>
      </c>
      <c r="P103" s="1">
        <f t="shared" ca="1" si="22"/>
        <v>-375</v>
      </c>
      <c r="Q103" s="1">
        <f ca="1">IF(A103=1,'Data Considered'!$B$18,Manufacturer!Q102+Manufacturer!P103)</f>
        <v>82175</v>
      </c>
      <c r="R103" s="1">
        <f ca="1">J103*'Data Considered'!$D$11</f>
        <v>170</v>
      </c>
      <c r="S103" s="1">
        <f ca="1">L103*'Data Considered'!$B$22</f>
        <v>205</v>
      </c>
      <c r="T103" s="1">
        <f ca="1">K103*'Data Considered'!$B$26</f>
        <v>0</v>
      </c>
      <c r="U103" s="1">
        <f t="shared" ca="1" si="23"/>
        <v>3</v>
      </c>
      <c r="V103" s="1">
        <f ca="1">U103+'Data Considered'!$B$15-0</f>
        <v>5</v>
      </c>
      <c r="W103" s="1">
        <f t="shared" ca="1" si="24"/>
        <v>170</v>
      </c>
      <c r="X103" s="1">
        <f t="shared" ca="1" si="25"/>
        <v>0</v>
      </c>
    </row>
    <row r="104" spans="1:24" x14ac:dyDescent="0.3">
      <c r="A104" s="1">
        <f t="shared" si="26"/>
        <v>103</v>
      </c>
      <c r="B104" s="1">
        <f ca="1">Distributor!H103</f>
        <v>0</v>
      </c>
      <c r="C104" s="1">
        <f t="shared" ca="1" si="28"/>
        <v>41</v>
      </c>
      <c r="D104" s="1">
        <f t="shared" ca="1" si="29"/>
        <v>123</v>
      </c>
      <c r="E104" s="1">
        <f t="shared" ca="1" si="30"/>
        <v>0</v>
      </c>
      <c r="F104" s="1">
        <f ca="1">IF(A104=1,'Data Considered'!$B$5,L103+E104)</f>
        <v>41</v>
      </c>
      <c r="G104" s="1">
        <f t="shared" ca="1" si="31"/>
        <v>41</v>
      </c>
      <c r="H104" s="1">
        <f t="shared" ca="1" si="32"/>
        <v>82</v>
      </c>
      <c r="I104" s="1">
        <f t="shared" ca="1" si="21"/>
        <v>41</v>
      </c>
      <c r="J104" s="1">
        <f t="shared" ca="1" si="27"/>
        <v>0</v>
      </c>
      <c r="K104" s="1">
        <f t="shared" ca="1" si="33"/>
        <v>0</v>
      </c>
      <c r="L104" s="1">
        <f t="shared" ca="1" si="34"/>
        <v>41</v>
      </c>
      <c r="M104" s="1">
        <f ca="1">J104*'Data Considered'!$B$11</f>
        <v>0</v>
      </c>
      <c r="N104" s="1">
        <f ca="1">Distributor!P104</f>
        <v>0</v>
      </c>
      <c r="O104" s="1">
        <f ca="1">H104*'Data Considered'!$B$12</f>
        <v>4100</v>
      </c>
      <c r="P104" s="1">
        <f t="shared" ca="1" si="22"/>
        <v>-4305</v>
      </c>
      <c r="Q104" s="1">
        <f ca="1">IF(A104=1,'Data Considered'!$B$18,Manufacturer!Q103+Manufacturer!P104)</f>
        <v>77870</v>
      </c>
      <c r="R104" s="1">
        <f ca="1">J104*'Data Considered'!$D$11</f>
        <v>0</v>
      </c>
      <c r="S104" s="1">
        <f ca="1">L104*'Data Considered'!$B$22</f>
        <v>205</v>
      </c>
      <c r="T104" s="1">
        <f ca="1">K104*'Data Considered'!$B$26</f>
        <v>0</v>
      </c>
      <c r="U104" s="1">
        <f t="shared" ca="1" si="23"/>
        <v>3</v>
      </c>
      <c r="V104" s="1">
        <f ca="1">U104+'Data Considered'!$B$15-0</f>
        <v>5</v>
      </c>
      <c r="W104" s="1">
        <f t="shared" ca="1" si="24"/>
        <v>4100</v>
      </c>
      <c r="X104" s="1">
        <f t="shared" ca="1" si="25"/>
        <v>4800</v>
      </c>
    </row>
    <row r="105" spans="1:24" x14ac:dyDescent="0.3">
      <c r="A105" s="1">
        <f t="shared" si="26"/>
        <v>104</v>
      </c>
      <c r="B105" s="1">
        <f ca="1">Distributor!H104</f>
        <v>0</v>
      </c>
      <c r="C105" s="1">
        <f t="shared" ca="1" si="28"/>
        <v>17</v>
      </c>
      <c r="D105" s="1">
        <f t="shared" ca="1" si="29"/>
        <v>51</v>
      </c>
      <c r="E105" s="1">
        <f t="shared" ca="1" si="30"/>
        <v>0</v>
      </c>
      <c r="F105" s="1">
        <f ca="1">IF(A105=1,'Data Considered'!$B$5,L104+E105)</f>
        <v>41</v>
      </c>
      <c r="G105" s="1">
        <f t="shared" ca="1" si="31"/>
        <v>123</v>
      </c>
      <c r="H105" s="1">
        <f t="shared" ca="1" si="32"/>
        <v>0</v>
      </c>
      <c r="I105" s="1">
        <f t="shared" ca="1" si="21"/>
        <v>41</v>
      </c>
      <c r="J105" s="1">
        <f t="shared" ca="1" si="27"/>
        <v>0</v>
      </c>
      <c r="K105" s="1">
        <f t="shared" ca="1" si="33"/>
        <v>0</v>
      </c>
      <c r="L105" s="1">
        <f t="shared" ca="1" si="34"/>
        <v>41</v>
      </c>
      <c r="M105" s="1">
        <f ca="1">J105*'Data Considered'!$B$11</f>
        <v>0</v>
      </c>
      <c r="N105" s="1">
        <f ca="1">Distributor!P105</f>
        <v>4800</v>
      </c>
      <c r="O105" s="1">
        <f ca="1">H105*'Data Considered'!$B$12</f>
        <v>0</v>
      </c>
      <c r="P105" s="1">
        <f t="shared" ca="1" si="22"/>
        <v>4595</v>
      </c>
      <c r="Q105" s="1">
        <f ca="1">IF(A105=1,'Data Considered'!$B$18,Manufacturer!Q104+Manufacturer!P105)</f>
        <v>82465</v>
      </c>
      <c r="R105" s="1">
        <f ca="1">J105*'Data Considered'!$D$11</f>
        <v>0</v>
      </c>
      <c r="S105" s="1">
        <f ca="1">L105*'Data Considered'!$B$22</f>
        <v>205</v>
      </c>
      <c r="T105" s="1">
        <f ca="1">K105*'Data Considered'!$B$26</f>
        <v>0</v>
      </c>
      <c r="U105" s="1">
        <f t="shared" ca="1" si="23"/>
        <v>3</v>
      </c>
      <c r="V105" s="1">
        <f ca="1">U105+'Data Considered'!$B$15-0</f>
        <v>5</v>
      </c>
      <c r="W105" s="1">
        <f t="shared" ca="1" si="24"/>
        <v>0</v>
      </c>
      <c r="X105" s="1">
        <f t="shared" ca="1" si="25"/>
        <v>3400</v>
      </c>
    </row>
    <row r="107" spans="1:24" x14ac:dyDescent="0.3">
      <c r="B107" s="3" t="s">
        <v>88</v>
      </c>
    </row>
    <row r="108" spans="1:24" x14ac:dyDescent="0.3">
      <c r="B108">
        <f ca="1">AVERAGE(B2:B105)</f>
        <v>16.298076923076923</v>
      </c>
    </row>
    <row r="110" spans="1:24" x14ac:dyDescent="0.3">
      <c r="B110" s="3" t="s">
        <v>61</v>
      </c>
      <c r="H110" s="3" t="s">
        <v>63</v>
      </c>
    </row>
    <row r="111" spans="1:24" x14ac:dyDescent="0.3">
      <c r="B111">
        <f ca="1">_xlfn.VAR.S(B2:B105)</f>
        <v>615.25980209111276</v>
      </c>
      <c r="H111">
        <f ca="1">_xlfn.VAR.S(H2:H105)</f>
        <v>1022.9028192681104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18C5B-F330-4071-B3B9-033A66AEA157}">
  <dimension ref="A1:B105"/>
  <sheetViews>
    <sheetView workbookViewId="0"/>
  </sheetViews>
  <sheetFormatPr defaultRowHeight="14.4" x14ac:dyDescent="0.3"/>
  <cols>
    <col min="1" max="1" width="12.21875" customWidth="1"/>
    <col min="2" max="2" width="19.44140625" style="1" customWidth="1"/>
  </cols>
  <sheetData>
    <row r="1" spans="1:2" ht="28.8" customHeight="1" x14ac:dyDescent="0.3">
      <c r="A1" s="4" t="s">
        <v>4</v>
      </c>
      <c r="B1" s="4" t="s">
        <v>5</v>
      </c>
    </row>
    <row r="2" spans="1:2" x14ac:dyDescent="0.3">
      <c r="A2" s="2">
        <v>1</v>
      </c>
      <c r="B2" s="2">
        <v>25</v>
      </c>
    </row>
    <row r="3" spans="1:2" x14ac:dyDescent="0.3">
      <c r="A3" s="2">
        <f>A2+1</f>
        <v>2</v>
      </c>
      <c r="B3" s="2">
        <v>24</v>
      </c>
    </row>
    <row r="4" spans="1:2" x14ac:dyDescent="0.3">
      <c r="A4" s="2">
        <f t="shared" ref="A4:A67" si="0">A3+1</f>
        <v>3</v>
      </c>
      <c r="B4" s="2">
        <v>15</v>
      </c>
    </row>
    <row r="5" spans="1:2" x14ac:dyDescent="0.3">
      <c r="A5" s="2">
        <f t="shared" si="0"/>
        <v>4</v>
      </c>
      <c r="B5" s="2">
        <v>21</v>
      </c>
    </row>
    <row r="6" spans="1:2" x14ac:dyDescent="0.3">
      <c r="A6" s="2">
        <f t="shared" si="0"/>
        <v>5</v>
      </c>
      <c r="B6" s="2">
        <v>26</v>
      </c>
    </row>
    <row r="7" spans="1:2" x14ac:dyDescent="0.3">
      <c r="A7" s="2">
        <f t="shared" si="0"/>
        <v>6</v>
      </c>
      <c r="B7" s="2">
        <v>24</v>
      </c>
    </row>
    <row r="8" spans="1:2" x14ac:dyDescent="0.3">
      <c r="A8" s="2">
        <f t="shared" si="0"/>
        <v>7</v>
      </c>
      <c r="B8" s="2">
        <v>26</v>
      </c>
    </row>
    <row r="9" spans="1:2" x14ac:dyDescent="0.3">
      <c r="A9" s="2">
        <f t="shared" si="0"/>
        <v>8</v>
      </c>
      <c r="B9" s="2">
        <v>9</v>
      </c>
    </row>
    <row r="10" spans="1:2" x14ac:dyDescent="0.3">
      <c r="A10" s="2">
        <f t="shared" si="0"/>
        <v>9</v>
      </c>
      <c r="B10" s="2">
        <v>18</v>
      </c>
    </row>
    <row r="11" spans="1:2" x14ac:dyDescent="0.3">
      <c r="A11" s="2">
        <f t="shared" si="0"/>
        <v>10</v>
      </c>
      <c r="B11" s="2">
        <v>22</v>
      </c>
    </row>
    <row r="12" spans="1:2" x14ac:dyDescent="0.3">
      <c r="A12" s="2">
        <f t="shared" si="0"/>
        <v>11</v>
      </c>
      <c r="B12" s="2">
        <v>23</v>
      </c>
    </row>
    <row r="13" spans="1:2" x14ac:dyDescent="0.3">
      <c r="A13" s="2">
        <f t="shared" si="0"/>
        <v>12</v>
      </c>
      <c r="B13" s="2">
        <v>24</v>
      </c>
    </row>
    <row r="14" spans="1:2" x14ac:dyDescent="0.3">
      <c r="A14" s="2">
        <f t="shared" si="0"/>
        <v>13</v>
      </c>
      <c r="B14" s="2">
        <v>20</v>
      </c>
    </row>
    <row r="15" spans="1:2" x14ac:dyDescent="0.3">
      <c r="A15" s="2">
        <f t="shared" si="0"/>
        <v>14</v>
      </c>
      <c r="B15" s="2">
        <v>24</v>
      </c>
    </row>
    <row r="16" spans="1:2" x14ac:dyDescent="0.3">
      <c r="A16" s="2">
        <f t="shared" si="0"/>
        <v>15</v>
      </c>
      <c r="B16" s="2">
        <v>20</v>
      </c>
    </row>
    <row r="17" spans="1:2" x14ac:dyDescent="0.3">
      <c r="A17" s="2">
        <f t="shared" si="0"/>
        <v>16</v>
      </c>
      <c r="B17" s="2">
        <v>19</v>
      </c>
    </row>
    <row r="18" spans="1:2" x14ac:dyDescent="0.3">
      <c r="A18" s="2">
        <f t="shared" si="0"/>
        <v>17</v>
      </c>
      <c r="B18" s="2">
        <v>17</v>
      </c>
    </row>
    <row r="19" spans="1:2" x14ac:dyDescent="0.3">
      <c r="A19" s="2">
        <f t="shared" si="0"/>
        <v>18</v>
      </c>
      <c r="B19" s="2">
        <v>17</v>
      </c>
    </row>
    <row r="20" spans="1:2" x14ac:dyDescent="0.3">
      <c r="A20" s="2">
        <f t="shared" si="0"/>
        <v>19</v>
      </c>
      <c r="B20" s="2">
        <v>14</v>
      </c>
    </row>
    <row r="21" spans="1:2" x14ac:dyDescent="0.3">
      <c r="A21" s="2">
        <f t="shared" si="0"/>
        <v>20</v>
      </c>
      <c r="B21" s="2">
        <v>27</v>
      </c>
    </row>
    <row r="22" spans="1:2" x14ac:dyDescent="0.3">
      <c r="A22" s="2">
        <f t="shared" si="0"/>
        <v>21</v>
      </c>
      <c r="B22" s="2">
        <v>20</v>
      </c>
    </row>
    <row r="23" spans="1:2" x14ac:dyDescent="0.3">
      <c r="A23" s="2">
        <f t="shared" si="0"/>
        <v>22</v>
      </c>
      <c r="B23" s="2">
        <v>12</v>
      </c>
    </row>
    <row r="24" spans="1:2" x14ac:dyDescent="0.3">
      <c r="A24" s="2">
        <f t="shared" si="0"/>
        <v>23</v>
      </c>
      <c r="B24" s="2">
        <v>21</v>
      </c>
    </row>
    <row r="25" spans="1:2" x14ac:dyDescent="0.3">
      <c r="A25" s="2">
        <f t="shared" si="0"/>
        <v>24</v>
      </c>
      <c r="B25" s="2">
        <v>13</v>
      </c>
    </row>
    <row r="26" spans="1:2" x14ac:dyDescent="0.3">
      <c r="A26" s="2">
        <f t="shared" si="0"/>
        <v>25</v>
      </c>
      <c r="B26" s="2">
        <v>24</v>
      </c>
    </row>
    <row r="27" spans="1:2" x14ac:dyDescent="0.3">
      <c r="A27" s="2">
        <f t="shared" si="0"/>
        <v>26</v>
      </c>
      <c r="B27" s="2">
        <v>26</v>
      </c>
    </row>
    <row r="28" spans="1:2" x14ac:dyDescent="0.3">
      <c r="A28" s="2">
        <f t="shared" si="0"/>
        <v>27</v>
      </c>
      <c r="B28" s="2">
        <v>14</v>
      </c>
    </row>
    <row r="29" spans="1:2" x14ac:dyDescent="0.3">
      <c r="A29" s="2">
        <f t="shared" si="0"/>
        <v>28</v>
      </c>
      <c r="B29" s="2">
        <v>18</v>
      </c>
    </row>
    <row r="30" spans="1:2" x14ac:dyDescent="0.3">
      <c r="A30" s="2">
        <f t="shared" si="0"/>
        <v>29</v>
      </c>
      <c r="B30" s="2">
        <v>25</v>
      </c>
    </row>
    <row r="31" spans="1:2" x14ac:dyDescent="0.3">
      <c r="A31" s="2">
        <f t="shared" si="0"/>
        <v>30</v>
      </c>
      <c r="B31" s="2">
        <v>27</v>
      </c>
    </row>
    <row r="32" spans="1:2" x14ac:dyDescent="0.3">
      <c r="A32" s="2">
        <f t="shared" si="0"/>
        <v>31</v>
      </c>
      <c r="B32" s="2">
        <v>20</v>
      </c>
    </row>
    <row r="33" spans="1:2" x14ac:dyDescent="0.3">
      <c r="A33" s="2">
        <f t="shared" si="0"/>
        <v>32</v>
      </c>
      <c r="B33" s="2">
        <v>12</v>
      </c>
    </row>
    <row r="34" spans="1:2" x14ac:dyDescent="0.3">
      <c r="A34" s="2">
        <f t="shared" si="0"/>
        <v>33</v>
      </c>
      <c r="B34" s="2">
        <v>16</v>
      </c>
    </row>
    <row r="35" spans="1:2" x14ac:dyDescent="0.3">
      <c r="A35" s="2">
        <f t="shared" si="0"/>
        <v>34</v>
      </c>
      <c r="B35" s="2">
        <v>23</v>
      </c>
    </row>
    <row r="36" spans="1:2" x14ac:dyDescent="0.3">
      <c r="A36" s="2">
        <f t="shared" si="0"/>
        <v>35</v>
      </c>
      <c r="B36" s="2">
        <v>13</v>
      </c>
    </row>
    <row r="37" spans="1:2" x14ac:dyDescent="0.3">
      <c r="A37" s="2">
        <f t="shared" si="0"/>
        <v>36</v>
      </c>
      <c r="B37" s="2">
        <v>17</v>
      </c>
    </row>
    <row r="38" spans="1:2" x14ac:dyDescent="0.3">
      <c r="A38" s="2">
        <f t="shared" si="0"/>
        <v>37</v>
      </c>
      <c r="B38" s="2">
        <v>15</v>
      </c>
    </row>
    <row r="39" spans="1:2" x14ac:dyDescent="0.3">
      <c r="A39" s="2">
        <f t="shared" si="0"/>
        <v>38</v>
      </c>
      <c r="B39" s="2">
        <v>14</v>
      </c>
    </row>
    <row r="40" spans="1:2" x14ac:dyDescent="0.3">
      <c r="A40" s="2">
        <f t="shared" si="0"/>
        <v>39</v>
      </c>
      <c r="B40" s="2">
        <v>22</v>
      </c>
    </row>
    <row r="41" spans="1:2" x14ac:dyDescent="0.3">
      <c r="A41" s="2">
        <f t="shared" si="0"/>
        <v>40</v>
      </c>
      <c r="B41" s="2">
        <v>22</v>
      </c>
    </row>
    <row r="42" spans="1:2" x14ac:dyDescent="0.3">
      <c r="A42" s="2">
        <f t="shared" si="0"/>
        <v>41</v>
      </c>
      <c r="B42" s="2">
        <v>19</v>
      </c>
    </row>
    <row r="43" spans="1:2" x14ac:dyDescent="0.3">
      <c r="A43" s="2">
        <f t="shared" si="0"/>
        <v>42</v>
      </c>
      <c r="B43" s="2">
        <v>10</v>
      </c>
    </row>
    <row r="44" spans="1:2" x14ac:dyDescent="0.3">
      <c r="A44" s="2">
        <f t="shared" si="0"/>
        <v>43</v>
      </c>
      <c r="B44" s="2">
        <v>22</v>
      </c>
    </row>
    <row r="45" spans="1:2" x14ac:dyDescent="0.3">
      <c r="A45" s="2">
        <f t="shared" si="0"/>
        <v>44</v>
      </c>
      <c r="B45" s="2">
        <v>17</v>
      </c>
    </row>
    <row r="46" spans="1:2" x14ac:dyDescent="0.3">
      <c r="A46" s="2">
        <f t="shared" si="0"/>
        <v>45</v>
      </c>
      <c r="B46" s="2">
        <v>31</v>
      </c>
    </row>
    <row r="47" spans="1:2" x14ac:dyDescent="0.3">
      <c r="A47" s="2">
        <f t="shared" si="0"/>
        <v>46</v>
      </c>
      <c r="B47" s="2">
        <v>10</v>
      </c>
    </row>
    <row r="48" spans="1:2" x14ac:dyDescent="0.3">
      <c r="A48" s="2">
        <f t="shared" si="0"/>
        <v>47</v>
      </c>
      <c r="B48" s="2">
        <v>27</v>
      </c>
    </row>
    <row r="49" spans="1:2" x14ac:dyDescent="0.3">
      <c r="A49" s="2">
        <f t="shared" si="0"/>
        <v>48</v>
      </c>
      <c r="B49" s="2">
        <v>27</v>
      </c>
    </row>
    <row r="50" spans="1:2" x14ac:dyDescent="0.3">
      <c r="A50" s="2">
        <f t="shared" si="0"/>
        <v>49</v>
      </c>
      <c r="B50" s="2">
        <v>16</v>
      </c>
    </row>
    <row r="51" spans="1:2" x14ac:dyDescent="0.3">
      <c r="A51" s="2">
        <f t="shared" si="0"/>
        <v>50</v>
      </c>
      <c r="B51" s="2">
        <v>17</v>
      </c>
    </row>
    <row r="52" spans="1:2" x14ac:dyDescent="0.3">
      <c r="A52" s="2">
        <f t="shared" si="0"/>
        <v>51</v>
      </c>
      <c r="B52" s="2">
        <v>16</v>
      </c>
    </row>
    <row r="53" spans="1:2" x14ac:dyDescent="0.3">
      <c r="A53" s="2">
        <f t="shared" si="0"/>
        <v>52</v>
      </c>
      <c r="B53" s="2">
        <v>16</v>
      </c>
    </row>
    <row r="54" spans="1:2" x14ac:dyDescent="0.3">
      <c r="A54" s="2">
        <f t="shared" si="0"/>
        <v>53</v>
      </c>
      <c r="B54" s="2">
        <v>22</v>
      </c>
    </row>
    <row r="55" spans="1:2" x14ac:dyDescent="0.3">
      <c r="A55" s="2">
        <f t="shared" si="0"/>
        <v>54</v>
      </c>
      <c r="B55" s="2">
        <v>24</v>
      </c>
    </row>
    <row r="56" spans="1:2" x14ac:dyDescent="0.3">
      <c r="A56" s="2">
        <f t="shared" si="0"/>
        <v>55</v>
      </c>
      <c r="B56" s="2">
        <v>15</v>
      </c>
    </row>
    <row r="57" spans="1:2" x14ac:dyDescent="0.3">
      <c r="A57" s="2">
        <f t="shared" si="0"/>
        <v>56</v>
      </c>
      <c r="B57" s="2">
        <v>19</v>
      </c>
    </row>
    <row r="58" spans="1:2" x14ac:dyDescent="0.3">
      <c r="A58" s="2">
        <f t="shared" si="0"/>
        <v>57</v>
      </c>
      <c r="B58" s="2">
        <v>14</v>
      </c>
    </row>
    <row r="59" spans="1:2" x14ac:dyDescent="0.3">
      <c r="A59" s="2">
        <f t="shared" si="0"/>
        <v>58</v>
      </c>
      <c r="B59" s="2">
        <v>23</v>
      </c>
    </row>
    <row r="60" spans="1:2" x14ac:dyDescent="0.3">
      <c r="A60" s="2">
        <f t="shared" si="0"/>
        <v>59</v>
      </c>
      <c r="B60" s="2">
        <v>19</v>
      </c>
    </row>
    <row r="61" spans="1:2" x14ac:dyDescent="0.3">
      <c r="A61" s="2">
        <f t="shared" si="0"/>
        <v>60</v>
      </c>
      <c r="B61" s="2">
        <v>19</v>
      </c>
    </row>
    <row r="62" spans="1:2" x14ac:dyDescent="0.3">
      <c r="A62" s="2">
        <f t="shared" si="0"/>
        <v>61</v>
      </c>
      <c r="B62" s="2">
        <v>31</v>
      </c>
    </row>
    <row r="63" spans="1:2" x14ac:dyDescent="0.3">
      <c r="A63" s="2">
        <f t="shared" si="0"/>
        <v>62</v>
      </c>
      <c r="B63" s="2">
        <v>13</v>
      </c>
    </row>
    <row r="64" spans="1:2" x14ac:dyDescent="0.3">
      <c r="A64" s="2">
        <f t="shared" si="0"/>
        <v>63</v>
      </c>
      <c r="B64" s="2">
        <v>21</v>
      </c>
    </row>
    <row r="65" spans="1:2" x14ac:dyDescent="0.3">
      <c r="A65" s="2">
        <f t="shared" si="0"/>
        <v>64</v>
      </c>
      <c r="B65" s="2">
        <v>17</v>
      </c>
    </row>
    <row r="66" spans="1:2" x14ac:dyDescent="0.3">
      <c r="A66" s="2">
        <f t="shared" si="0"/>
        <v>65</v>
      </c>
      <c r="B66" s="2">
        <v>20</v>
      </c>
    </row>
    <row r="67" spans="1:2" x14ac:dyDescent="0.3">
      <c r="A67" s="2">
        <f t="shared" si="0"/>
        <v>66</v>
      </c>
      <c r="B67" s="2">
        <v>23</v>
      </c>
    </row>
    <row r="68" spans="1:2" x14ac:dyDescent="0.3">
      <c r="A68" s="2">
        <f t="shared" ref="A68:A105" si="1">A67+1</f>
        <v>67</v>
      </c>
      <c r="B68" s="2">
        <v>24</v>
      </c>
    </row>
    <row r="69" spans="1:2" x14ac:dyDescent="0.3">
      <c r="A69" s="2">
        <f t="shared" si="1"/>
        <v>68</v>
      </c>
      <c r="B69" s="2">
        <v>17</v>
      </c>
    </row>
    <row r="70" spans="1:2" x14ac:dyDescent="0.3">
      <c r="A70" s="2">
        <f t="shared" si="1"/>
        <v>69</v>
      </c>
      <c r="B70" s="2">
        <v>17</v>
      </c>
    </row>
    <row r="71" spans="1:2" x14ac:dyDescent="0.3">
      <c r="A71" s="2">
        <f t="shared" si="1"/>
        <v>70</v>
      </c>
      <c r="B71" s="2">
        <v>19</v>
      </c>
    </row>
    <row r="72" spans="1:2" x14ac:dyDescent="0.3">
      <c r="A72" s="2">
        <f t="shared" si="1"/>
        <v>71</v>
      </c>
      <c r="B72" s="2">
        <v>21</v>
      </c>
    </row>
    <row r="73" spans="1:2" x14ac:dyDescent="0.3">
      <c r="A73" s="2">
        <f t="shared" si="1"/>
        <v>72</v>
      </c>
      <c r="B73" s="2">
        <v>29</v>
      </c>
    </row>
    <row r="74" spans="1:2" x14ac:dyDescent="0.3">
      <c r="A74" s="2">
        <f t="shared" si="1"/>
        <v>73</v>
      </c>
      <c r="B74" s="2">
        <v>16</v>
      </c>
    </row>
    <row r="75" spans="1:2" x14ac:dyDescent="0.3">
      <c r="A75" s="2">
        <f t="shared" si="1"/>
        <v>74</v>
      </c>
      <c r="B75" s="2">
        <v>23</v>
      </c>
    </row>
    <row r="76" spans="1:2" x14ac:dyDescent="0.3">
      <c r="A76" s="2">
        <f t="shared" si="1"/>
        <v>75</v>
      </c>
      <c r="B76" s="2">
        <v>20</v>
      </c>
    </row>
    <row r="77" spans="1:2" x14ac:dyDescent="0.3">
      <c r="A77" s="2">
        <f t="shared" si="1"/>
        <v>76</v>
      </c>
      <c r="B77" s="2">
        <v>23</v>
      </c>
    </row>
    <row r="78" spans="1:2" x14ac:dyDescent="0.3">
      <c r="A78" s="2">
        <f t="shared" si="1"/>
        <v>77</v>
      </c>
      <c r="B78" s="2">
        <v>24</v>
      </c>
    </row>
    <row r="79" spans="1:2" x14ac:dyDescent="0.3">
      <c r="A79" s="2">
        <f t="shared" si="1"/>
        <v>78</v>
      </c>
      <c r="B79" s="2">
        <v>22</v>
      </c>
    </row>
    <row r="80" spans="1:2" x14ac:dyDescent="0.3">
      <c r="A80" s="2">
        <f t="shared" si="1"/>
        <v>79</v>
      </c>
      <c r="B80" s="2">
        <v>16</v>
      </c>
    </row>
    <row r="81" spans="1:2" x14ac:dyDescent="0.3">
      <c r="A81" s="2">
        <f t="shared" si="1"/>
        <v>80</v>
      </c>
      <c r="B81" s="2">
        <v>23</v>
      </c>
    </row>
    <row r="82" spans="1:2" x14ac:dyDescent="0.3">
      <c r="A82" s="2">
        <f t="shared" si="1"/>
        <v>81</v>
      </c>
      <c r="B82" s="2">
        <v>14</v>
      </c>
    </row>
    <row r="83" spans="1:2" x14ac:dyDescent="0.3">
      <c r="A83" s="2">
        <f t="shared" si="1"/>
        <v>82</v>
      </c>
      <c r="B83" s="2">
        <v>20</v>
      </c>
    </row>
    <row r="84" spans="1:2" x14ac:dyDescent="0.3">
      <c r="A84" s="2">
        <f t="shared" si="1"/>
        <v>83</v>
      </c>
      <c r="B84" s="2">
        <v>19</v>
      </c>
    </row>
    <row r="85" spans="1:2" x14ac:dyDescent="0.3">
      <c r="A85" s="2">
        <f t="shared" si="1"/>
        <v>84</v>
      </c>
      <c r="B85" s="2">
        <v>27</v>
      </c>
    </row>
    <row r="86" spans="1:2" x14ac:dyDescent="0.3">
      <c r="A86" s="2">
        <f t="shared" si="1"/>
        <v>85</v>
      </c>
      <c r="B86" s="2">
        <v>26</v>
      </c>
    </row>
    <row r="87" spans="1:2" x14ac:dyDescent="0.3">
      <c r="A87" s="2">
        <f t="shared" si="1"/>
        <v>86</v>
      </c>
      <c r="B87" s="2">
        <v>14</v>
      </c>
    </row>
    <row r="88" spans="1:2" x14ac:dyDescent="0.3">
      <c r="A88" s="2">
        <f t="shared" si="1"/>
        <v>87</v>
      </c>
      <c r="B88" s="2">
        <v>13</v>
      </c>
    </row>
    <row r="89" spans="1:2" x14ac:dyDescent="0.3">
      <c r="A89" s="2">
        <f t="shared" si="1"/>
        <v>88</v>
      </c>
      <c r="B89" s="2">
        <v>32</v>
      </c>
    </row>
    <row r="90" spans="1:2" x14ac:dyDescent="0.3">
      <c r="A90" s="2">
        <f t="shared" si="1"/>
        <v>89</v>
      </c>
      <c r="B90" s="2">
        <v>23</v>
      </c>
    </row>
    <row r="91" spans="1:2" x14ac:dyDescent="0.3">
      <c r="A91" s="2">
        <f t="shared" si="1"/>
        <v>90</v>
      </c>
      <c r="B91" s="2">
        <v>31</v>
      </c>
    </row>
    <row r="92" spans="1:2" x14ac:dyDescent="0.3">
      <c r="A92" s="2">
        <f t="shared" si="1"/>
        <v>91</v>
      </c>
      <c r="B92" s="2">
        <v>24</v>
      </c>
    </row>
    <row r="93" spans="1:2" x14ac:dyDescent="0.3">
      <c r="A93" s="2">
        <f t="shared" si="1"/>
        <v>92</v>
      </c>
      <c r="B93" s="2">
        <v>29</v>
      </c>
    </row>
    <row r="94" spans="1:2" x14ac:dyDescent="0.3">
      <c r="A94" s="2">
        <f t="shared" si="1"/>
        <v>93</v>
      </c>
      <c r="B94" s="2">
        <v>24</v>
      </c>
    </row>
    <row r="95" spans="1:2" x14ac:dyDescent="0.3">
      <c r="A95" s="2">
        <f t="shared" si="1"/>
        <v>94</v>
      </c>
      <c r="B95" s="2">
        <v>22</v>
      </c>
    </row>
    <row r="96" spans="1:2" x14ac:dyDescent="0.3">
      <c r="A96" s="2">
        <f t="shared" si="1"/>
        <v>95</v>
      </c>
      <c r="B96" s="2">
        <v>19</v>
      </c>
    </row>
    <row r="97" spans="1:2" x14ac:dyDescent="0.3">
      <c r="A97" s="2">
        <f t="shared" si="1"/>
        <v>96</v>
      </c>
      <c r="B97" s="2">
        <v>19</v>
      </c>
    </row>
    <row r="98" spans="1:2" x14ac:dyDescent="0.3">
      <c r="A98" s="2">
        <f t="shared" si="1"/>
        <v>97</v>
      </c>
      <c r="B98" s="2">
        <v>25</v>
      </c>
    </row>
    <row r="99" spans="1:2" x14ac:dyDescent="0.3">
      <c r="A99" s="2">
        <f t="shared" si="1"/>
        <v>98</v>
      </c>
      <c r="B99" s="2">
        <v>21</v>
      </c>
    </row>
    <row r="100" spans="1:2" x14ac:dyDescent="0.3">
      <c r="A100" s="2">
        <f t="shared" si="1"/>
        <v>99</v>
      </c>
      <c r="B100" s="2">
        <v>26</v>
      </c>
    </row>
    <row r="101" spans="1:2" x14ac:dyDescent="0.3">
      <c r="A101" s="2">
        <f t="shared" si="1"/>
        <v>100</v>
      </c>
      <c r="B101" s="2">
        <v>15</v>
      </c>
    </row>
    <row r="102" spans="1:2" x14ac:dyDescent="0.3">
      <c r="A102" s="2">
        <f t="shared" si="1"/>
        <v>101</v>
      </c>
      <c r="B102" s="2">
        <v>17</v>
      </c>
    </row>
    <row r="103" spans="1:2" x14ac:dyDescent="0.3">
      <c r="A103" s="2">
        <f t="shared" si="1"/>
        <v>102</v>
      </c>
      <c r="B103" s="2">
        <v>32</v>
      </c>
    </row>
    <row r="104" spans="1:2" x14ac:dyDescent="0.3">
      <c r="A104" s="2">
        <f t="shared" si="1"/>
        <v>103</v>
      </c>
      <c r="B104" s="2">
        <v>22</v>
      </c>
    </row>
    <row r="105" spans="1:2" x14ac:dyDescent="0.3">
      <c r="A105" s="2">
        <f t="shared" si="1"/>
        <v>104</v>
      </c>
      <c r="B105" s="2">
        <v>24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ED51-7887-4A66-BFB2-03F51DB0631A}">
  <dimension ref="A1:D22"/>
  <sheetViews>
    <sheetView tabSelected="1" zoomScale="130" zoomScaleNormal="130" workbookViewId="0"/>
  </sheetViews>
  <sheetFormatPr defaultRowHeight="14.4" x14ac:dyDescent="0.3"/>
  <cols>
    <col min="1" max="1" width="42.5546875" customWidth="1"/>
    <col min="2" max="2" width="28.6640625" customWidth="1"/>
    <col min="3" max="3" width="27.33203125" customWidth="1"/>
    <col min="4" max="4" width="25.33203125" customWidth="1"/>
  </cols>
  <sheetData>
    <row r="1" spans="1:4" s="3" customFormat="1" ht="25.2" customHeight="1" x14ac:dyDescent="0.3">
      <c r="A1" s="5" t="s">
        <v>34</v>
      </c>
      <c r="B1" s="5" t="s">
        <v>35</v>
      </c>
      <c r="C1" s="6" t="s">
        <v>36</v>
      </c>
      <c r="D1" s="5" t="s">
        <v>37</v>
      </c>
    </row>
    <row r="2" spans="1:4" x14ac:dyDescent="0.3">
      <c r="A2" s="18" t="s">
        <v>46</v>
      </c>
      <c r="B2" s="19">
        <f ca="1">SUM(INDEX(Manufacturer!B:B,'Data Considered'!B28+1):INDEX(Manufacturer!B:B,'Data Considered'!B29+1))</f>
        <v>990</v>
      </c>
      <c r="C2" s="20">
        <f ca="1">SUM(INDEX(Distributor!B:B, 'Data Considered'!B28+1) : INDEX(Distributor!B:B, 'Data Considered'!B29+1))</f>
        <v>1076</v>
      </c>
      <c r="D2" s="20">
        <f>SUM(INDEX(Retailer!B:B, 'Data Considered'!B28+1) : INDEX(Retailer!B:B, 'Data Considered'!B29+1))</f>
        <v>1176</v>
      </c>
    </row>
    <row r="3" spans="1:4" x14ac:dyDescent="0.3">
      <c r="A3" s="21" t="s">
        <v>47</v>
      </c>
      <c r="B3" s="19">
        <f ca="1">SUM(INDEX(Manufacturer!J:J,'Data Considered'!B28+1):INDEX(Manufacturer!J:J,'Data Considered'!B29+1))</f>
        <v>964</v>
      </c>
      <c r="C3" s="19">
        <f ca="1">SUM(INDEX(Distributor!J:J, 'Data Considered'!B28+1) : INDEX(Distributor!J:J, 'Data Considered'!B29+1))</f>
        <v>975</v>
      </c>
      <c r="D3" s="19">
        <f ca="1">SUM(INDEX(Retailer!J:J, 'Data Considered'!B28+1) : INDEX(Retailer!J:J, 'Data Considered'!B29+1))</f>
        <v>970</v>
      </c>
    </row>
    <row r="4" spans="1:4" x14ac:dyDescent="0.3">
      <c r="A4" s="21" t="s">
        <v>14</v>
      </c>
      <c r="B4" s="19">
        <f ca="1">SUM(INDEX(Manufacturer!K:K,'Data Considered'!B28+1):INDEX(Manufacturer!K:K,'Data Considered'!B29+1))</f>
        <v>26</v>
      </c>
      <c r="C4" s="19">
        <f ca="1">SUM(INDEX(Distributor!K:K, 'Data Considered'!B28+1) : INDEX(Distributor!K:K, 'Data Considered'!B29+1))</f>
        <v>101</v>
      </c>
      <c r="D4" s="19">
        <f ca="1">SUM(INDEX(Retailer!K:K, 'Data Considered'!B28+1) : INDEX(Retailer!K:K, 'Data Considered'!B29+1))</f>
        <v>206</v>
      </c>
    </row>
    <row r="5" spans="1:4" x14ac:dyDescent="0.3">
      <c r="A5" s="21" t="s">
        <v>48</v>
      </c>
      <c r="B5" s="51">
        <f ca="1">1-B4/B2</f>
        <v>0.97373737373737379</v>
      </c>
      <c r="C5" s="51">
        <f t="shared" ref="C5:D5" ca="1" si="0">1-C4/C2</f>
        <v>0.90613382899628259</v>
      </c>
      <c r="D5" s="51">
        <f t="shared" ca="1" si="0"/>
        <v>0.82482993197278909</v>
      </c>
    </row>
    <row r="6" spans="1:4" x14ac:dyDescent="0.3">
      <c r="A6" s="21" t="s">
        <v>49</v>
      </c>
      <c r="B6" s="51">
        <f ca="1">AVERAGE(INDEX(Manufacturer!L:L, 'Data Considered'!B28+1) : INDEX(Manufacturer!L:L, 'Data Considered'!B29+1))</f>
        <v>73.516666666666666</v>
      </c>
      <c r="C6" s="51">
        <f ca="1">AVERAGE(INDEX(Distributor!L:L, 'Data Considered'!B28+1) : INDEX(Distributor!L:L, 'Data Considered'!B29+1))</f>
        <v>25.133333333333333</v>
      </c>
      <c r="D6" s="51">
        <f ca="1">AVERAGE(INDEX(Retailer!L:L, 'Data Considered'!B28+1) : INDEX(Retailer!L:L, 'Data Considered'!B29+1))</f>
        <v>8.2833333333333332</v>
      </c>
    </row>
    <row r="7" spans="1:4" x14ac:dyDescent="0.3">
      <c r="A7" s="21" t="s">
        <v>50</v>
      </c>
      <c r="B7" s="51">
        <f ca="1">B3/B6</f>
        <v>13.112672863296305</v>
      </c>
      <c r="C7" s="51">
        <f t="shared" ref="C7:D7" ca="1" si="1">C3/C6</f>
        <v>38.793103448275865</v>
      </c>
      <c r="D7" s="51">
        <f t="shared" ca="1" si="1"/>
        <v>117.102615694165</v>
      </c>
    </row>
    <row r="8" spans="1:4" x14ac:dyDescent="0.3">
      <c r="A8" s="21" t="s">
        <v>51</v>
      </c>
      <c r="B8" s="52">
        <f ca="1">ROUNDUP(B6/Manufacturer!B108,0)</f>
        <v>5</v>
      </c>
      <c r="C8" s="52">
        <f ca="1">ROUNDUP(C6/Distributor!B108,0)</f>
        <v>2</v>
      </c>
      <c r="D8" s="52">
        <f ca="1">ROUNDUP(D6/Retailer!B108,0)</f>
        <v>1</v>
      </c>
    </row>
    <row r="9" spans="1:4" x14ac:dyDescent="0.3">
      <c r="A9" s="21" t="s">
        <v>52</v>
      </c>
      <c r="B9" s="19">
        <f ca="1">SUM(INDEX(Manufacturer!S:S,'Data Considered'!B28+1):INDEX(Manufacturer!S:S,'Data Considered'!B29+1))</f>
        <v>22055</v>
      </c>
      <c r="C9" s="19">
        <f ca="1">SUM(INDEX(Distributor!T:T, 'Data Considered'!B28+1) : INDEX(Distributor!T:T, 'Data Considered'!B29+1))</f>
        <v>15080</v>
      </c>
      <c r="D9" s="19">
        <f ca="1">SUM(INDEX(Retailer!T:T, 'Data Considered'!B28+1) : INDEX(Retailer!T:T, 'Data Considered'!B29+1))</f>
        <v>7455</v>
      </c>
    </row>
    <row r="10" spans="1:4" x14ac:dyDescent="0.3">
      <c r="A10" s="21" t="s">
        <v>53</v>
      </c>
      <c r="B10" s="19">
        <f ca="1">SUM(INDEX(Manufacturer!T:T, 'Data Considered'!B28+1) : INDEX(Manufacturer!T:T, 'Data Considered'!B29+1))</f>
        <v>1040</v>
      </c>
      <c r="C10" s="19">
        <f ca="1">SUM(INDEX(Distributor!U:U, 'Data Considered'!B28+1) : INDEX(Distributor!U:U, 'Data Considered'!B29+1))</f>
        <v>3030</v>
      </c>
      <c r="D10" s="19">
        <f ca="1">SUM(INDEX(Retailer!U:U, 'Data Considered'!B28+1) : INDEX(Retailer!U:U, 'Data Considered'!B29+1))</f>
        <v>8240</v>
      </c>
    </row>
    <row r="11" spans="1:4" x14ac:dyDescent="0.3">
      <c r="A11" s="21" t="s">
        <v>54</v>
      </c>
      <c r="B11" s="19">
        <f ca="1">SUM(INDEX(Manufacturer!O:O,'Data Considered'!B28+1):INDEX(Manufacturer!O:O,'Data Considered'!B29+1))</f>
        <v>47600</v>
      </c>
      <c r="C11" s="19">
        <f ca="1">SUM(INDEX(Distributor!O:O, 'Data Considered'!B28+1) : INDEX(Distributor!O:O, 'Data Considered'!B29+1))</f>
        <v>96400</v>
      </c>
      <c r="D11" s="19">
        <f ca="1">SUM(INDEX(Retailer!O:O, 'Data Considered'!B28+1) : INDEX(Retailer!O:O, 'Data Considered'!B29+1))</f>
        <v>135800</v>
      </c>
    </row>
    <row r="12" spans="1:4" x14ac:dyDescent="0.3">
      <c r="A12" s="21" t="s">
        <v>98</v>
      </c>
      <c r="B12" s="19"/>
      <c r="C12" s="19">
        <f ca="1">SUM(INDEX(Distributor!P:P, 'Data Considered'!B28+1) : INDEX(Distributor!P:P, 'Data Considered'!B29+1))</f>
        <v>95400</v>
      </c>
      <c r="D12" s="19">
        <f ca="1">SUM(INDEX(Retailer!P:P, 'Data Considered'!B28+1) : INDEX(Retailer!P:P, 'Data Considered'!B29+1))</f>
        <v>136220</v>
      </c>
    </row>
    <row r="13" spans="1:4" x14ac:dyDescent="0.3">
      <c r="A13" s="21" t="s">
        <v>96</v>
      </c>
      <c r="B13" s="19">
        <f ca="1">SUM(INDEX(Manufacturer!R:R,'Data Considered'!B28+1):INDEX(Manufacturer!R:R,'Data Considered'!B29+1))</f>
        <v>4820</v>
      </c>
      <c r="C13" s="19">
        <f ca="1">SUM(INDEX(Distributor!S:S, 'Data Considered'!B28+1) : INDEX(Distributor!S:S, 'Data Considered'!B29+1))</f>
        <v>6825</v>
      </c>
      <c r="D13" s="19">
        <f ca="1">SUM(INDEX(Retailer!S:S, 'Data Considered'!B28+1) : INDEX(Retailer!S:S, 'Data Considered'!B29+1))</f>
        <v>9700</v>
      </c>
    </row>
    <row r="14" spans="1:4" x14ac:dyDescent="0.3">
      <c r="A14" s="21" t="s">
        <v>60</v>
      </c>
      <c r="B14" s="19">
        <f ca="1">B9+B11+B13</f>
        <v>74475</v>
      </c>
      <c r="C14" s="19">
        <f ca="1">C9+C11+C13</f>
        <v>118305</v>
      </c>
      <c r="D14" s="19">
        <f ca="1">D9+D11+D13</f>
        <v>152955</v>
      </c>
    </row>
    <row r="15" spans="1:4" x14ac:dyDescent="0.3">
      <c r="A15" s="21" t="s">
        <v>55</v>
      </c>
      <c r="B15" s="19">
        <f ca="1">SUM(INDEX(Manufacturer!X:X,'Data Considered'!B28+1):INDEX(Manufacturer!X:X,'Data Considered'!B29+1))</f>
        <v>89500</v>
      </c>
      <c r="C15" s="19">
        <f ca="1">SUM(INDEX(Distributor!Y:Y, 'Data Considered'!B28+1) : INDEX(Distributor!Y:Y, 'Data Considered'!B29+1))</f>
        <v>135240</v>
      </c>
      <c r="D15" s="19">
        <f ca="1">SUM(INDEX(Retailer!Y:Y, 'Data Considered'!B28+1) : INDEX(Retailer!Y:Y, 'Data Considered'!B29+1))</f>
        <v>174600</v>
      </c>
    </row>
    <row r="16" spans="1:4" x14ac:dyDescent="0.3">
      <c r="A16" s="21" t="s">
        <v>56</v>
      </c>
      <c r="B16" s="19">
        <f ca="1">B15-B14</f>
        <v>15025</v>
      </c>
      <c r="C16" s="19">
        <f ca="1">C15-C9-C12-C13</f>
        <v>17935</v>
      </c>
      <c r="D16" s="19">
        <f ca="1">D15-D9-D12-D13</f>
        <v>21225</v>
      </c>
    </row>
    <row r="17" spans="1:4" x14ac:dyDescent="0.3">
      <c r="A17" s="21" t="s">
        <v>20</v>
      </c>
      <c r="B17" s="19">
        <f ca="1">SUM(INDEX(Manufacturer!P:P, 'Data Considered'!B28+1) : INDEX(Manufacturer!P:P, 'Data Considered'!B29+1))</f>
        <v>20925</v>
      </c>
      <c r="C17" s="19">
        <f ca="1">SUM(INDEX(Distributor!Q:Q, 'Data Considered'!B28+1) : INDEX(Distributor!Q:Q, 'Data Considered'!B29+1))</f>
        <v>18915</v>
      </c>
      <c r="D17" s="19">
        <f ca="1">SUM(INDEX(Retailer!Q:Q, 'Data Considered'!B28+1) : INDEX(Retailer!Q:Q, 'Data Considered'!B29+1))</f>
        <v>21225</v>
      </c>
    </row>
    <row r="18" spans="1:4" x14ac:dyDescent="0.3">
      <c r="A18" s="21" t="s">
        <v>57</v>
      </c>
      <c r="B18" s="19">
        <f ca="1">MIN(INDEX(Manufacturer!Q:Q, 'Data Considered'!B28+1) : INDEX(Manufacturer!Q:Q, 'Data Considered'!B29+1))</f>
        <v>44845</v>
      </c>
      <c r="C18" s="19">
        <f ca="1">MIN(INDEX(Distributor!R:R, 'Data Considered'!B28+1) : INDEX(Distributor!R:R, 'Data Considered'!B29+1))</f>
        <v>30645</v>
      </c>
      <c r="D18" s="19">
        <f ca="1">MIN(INDEX(Retailer!R:R, 'Data Considered'!B28+1) : INDEX(Retailer!R:R, 'Data Considered'!B29+1))</f>
        <v>27150</v>
      </c>
    </row>
    <row r="19" spans="1:4" x14ac:dyDescent="0.3">
      <c r="A19" s="21" t="s">
        <v>97</v>
      </c>
      <c r="B19" s="19">
        <f ca="1">COUNTIF(INDEX(Manufacturer!P:P, 'Data Considered'!B28+1) : INDEX(Manufacturer!P:P, 'Data Considered'!B29+1), "&lt;0")</f>
        <v>37</v>
      </c>
      <c r="C19" s="19">
        <f ca="1">COUNTIF(INDEX(Distributor!Q:Q, 'Data Considered'!B28+1) : INDEX(Distributor!Q:Q, 'Data Considered'!B29+1), "&lt;0")</f>
        <v>22</v>
      </c>
      <c r="D19" s="19">
        <f ca="1">COUNTIF(INDEX(Retailer!Q:Q, 'Data Considered'!B28+1) : INDEX(Retailer!Q:Q, 'Data Considered'!B29+1), "&lt;0")</f>
        <v>24</v>
      </c>
    </row>
    <row r="20" spans="1:4" x14ac:dyDescent="0.3">
      <c r="A20" s="21" t="s">
        <v>58</v>
      </c>
      <c r="B20" s="19">
        <v>3</v>
      </c>
      <c r="C20" s="19">
        <v>3</v>
      </c>
      <c r="D20" s="19">
        <v>0</v>
      </c>
    </row>
    <row r="21" spans="1:4" x14ac:dyDescent="0.3">
      <c r="A21" s="21" t="s">
        <v>59</v>
      </c>
      <c r="B21" s="19">
        <v>0</v>
      </c>
      <c r="C21" s="19">
        <v>2</v>
      </c>
      <c r="D21" s="19">
        <v>2</v>
      </c>
    </row>
    <row r="22" spans="1:4" x14ac:dyDescent="0.3">
      <c r="A22" s="53" t="s">
        <v>40</v>
      </c>
      <c r="B22" s="54">
        <f ca="1">B8-B21+B20</f>
        <v>8</v>
      </c>
      <c r="C22" s="54">
        <f ca="1">C8-C21+C20</f>
        <v>3</v>
      </c>
      <c r="D22" s="54">
        <f ca="1">D8-D21+D20</f>
        <v>-1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Considered</vt:lpstr>
      <vt:lpstr>Retailer</vt:lpstr>
      <vt:lpstr>Distributor</vt:lpstr>
      <vt:lpstr>Manufacturer</vt:lpstr>
      <vt:lpstr>Demand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Rajasri Udaya Dharani</dc:creator>
  <cp:lastModifiedBy>Arun Sai Krishna</cp:lastModifiedBy>
  <cp:lastPrinted>2026-05-06T19:25:26Z</cp:lastPrinted>
  <dcterms:created xsi:type="dcterms:W3CDTF">2025-11-13T07:33:51Z</dcterms:created>
  <dcterms:modified xsi:type="dcterms:W3CDTF">2026-08-02T16:48:23Z</dcterms:modified>
</cp:coreProperties>
</file>